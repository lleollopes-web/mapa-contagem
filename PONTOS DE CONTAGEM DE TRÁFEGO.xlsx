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STEMAS DESENVOLVIDOS POR LEANDRO\5- MAPA CONTAGEM PDR\"/>
    </mc:Choice>
  </mc:AlternateContent>
  <xr:revisionPtr revIDLastSave="0" documentId="13_ncr:1_{8561D1FD-C93E-4D3B-94CE-9378394843D1}" xr6:coauthVersionLast="47" xr6:coauthVersionMax="47" xr10:uidLastSave="{00000000-0000-0000-0000-000000000000}"/>
  <bookViews>
    <workbookView xWindow="-120" yWindow="-120" windowWidth="29040" windowHeight="15720" activeTab="1" xr2:uid="{1BC37620-D3AB-4C19-BEA2-4CB7A575DB6B}"/>
  </bookViews>
  <sheets>
    <sheet name="LISTA DE PONTOS" sheetId="1" r:id="rId1"/>
    <sheet name="DADOS COLETADOS" sheetId="2" r:id="rId2"/>
  </sheets>
  <definedNames>
    <definedName name="_xlnm._FilterDatabase" localSheetId="1" hidden="1">'DADOS COLETADOS'!$A$4:$AC$153</definedName>
    <definedName name="_xlnm._FilterDatabase" localSheetId="0" hidden="1">'LISTA DE PONTOS'!$A$1:$K$150</definedName>
    <definedName name="_xlnm.Print_Area" localSheetId="0">'LISTA DE PONTOS'!$A$1:$K$150</definedName>
    <definedName name="_xlnm.Print_Titles" localSheetId="0">'LISTA DE PONTOS'!$1:$1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0" i="2" l="1"/>
  <c r="G82" i="2"/>
  <c r="G138" i="2"/>
  <c r="G137" i="2"/>
  <c r="G79" i="2"/>
  <c r="G46" i="2"/>
  <c r="G9" i="2"/>
  <c r="G143" i="2"/>
  <c r="G76" i="2"/>
  <c r="G73" i="2"/>
  <c r="G61" i="2"/>
  <c r="G52" i="2"/>
  <c r="G100" i="2"/>
  <c r="G75" i="2"/>
  <c r="G74" i="2"/>
  <c r="G56" i="2"/>
  <c r="G53" i="2"/>
  <c r="G127" i="2"/>
  <c r="G72" i="2"/>
  <c r="G62" i="2"/>
  <c r="G21" i="2"/>
  <c r="G10" i="2"/>
  <c r="G149" i="2"/>
  <c r="G135" i="2"/>
  <c r="G125" i="2"/>
  <c r="G124" i="2"/>
  <c r="G123" i="2"/>
  <c r="G109" i="2"/>
  <c r="G39" i="2"/>
  <c r="G151" i="2"/>
  <c r="G121" i="2"/>
  <c r="G84" i="2"/>
  <c r="G65" i="2"/>
  <c r="G27" i="2"/>
  <c r="G7" i="2"/>
  <c r="G99" i="2"/>
  <c r="G98" i="2"/>
  <c r="G85" i="2"/>
  <c r="G68" i="2"/>
  <c r="G36" i="2"/>
  <c r="G92" i="2"/>
  <c r="G59" i="2"/>
  <c r="G58" i="2"/>
  <c r="G57" i="2"/>
  <c r="G25" i="2"/>
  <c r="G81" i="2"/>
  <c r="G139" i="2"/>
  <c r="G49" i="2"/>
  <c r="G48" i="2"/>
  <c r="G33" i="2"/>
  <c r="G16" i="2"/>
  <c r="G147" i="2"/>
  <c r="G80" i="2"/>
  <c r="G45" i="2"/>
  <c r="G23" i="2"/>
  <c r="G114" i="2"/>
  <c r="G95" i="2"/>
  <c r="G70" i="2"/>
  <c r="G69" i="2"/>
  <c r="G18" i="2"/>
  <c r="G152" i="2"/>
  <c r="G141" i="2"/>
  <c r="G120" i="2"/>
  <c r="G119" i="2"/>
  <c r="G67" i="2"/>
  <c r="G22" i="2"/>
  <c r="AC153" i="2"/>
  <c r="G153" i="2"/>
  <c r="AC152" i="2"/>
  <c r="AC151" i="2"/>
  <c r="AC150" i="2"/>
  <c r="AC149" i="2"/>
  <c r="AC148" i="2"/>
  <c r="G148" i="2"/>
  <c r="AC147" i="2"/>
  <c r="AC146" i="2"/>
  <c r="AC145" i="2"/>
  <c r="AC144" i="2"/>
  <c r="G144" i="2"/>
  <c r="AC143" i="2"/>
  <c r="AC142" i="2"/>
  <c r="G142" i="2"/>
  <c r="AC141" i="2"/>
  <c r="AC140" i="2"/>
  <c r="G140" i="2"/>
  <c r="AC139" i="2"/>
  <c r="AC138" i="2"/>
  <c r="AC137" i="2"/>
  <c r="AC136" i="2"/>
  <c r="G136" i="2"/>
  <c r="AC135" i="2"/>
  <c r="AC134" i="2"/>
  <c r="G134" i="2"/>
  <c r="AC133" i="2"/>
  <c r="G133" i="2"/>
  <c r="AC132" i="2"/>
  <c r="G132" i="2"/>
  <c r="AC131" i="2"/>
  <c r="G131" i="2"/>
  <c r="AC130" i="2"/>
  <c r="G130" i="2"/>
  <c r="AC129" i="2"/>
  <c r="AC128" i="2"/>
  <c r="AC127" i="2"/>
  <c r="AC126" i="2"/>
  <c r="G126" i="2"/>
  <c r="AC125" i="2"/>
  <c r="AC124" i="2"/>
  <c r="AC123" i="2"/>
  <c r="AC122" i="2"/>
  <c r="G122" i="2"/>
  <c r="AC121" i="2"/>
  <c r="AC120" i="2"/>
  <c r="AC119" i="2"/>
  <c r="AC118" i="2"/>
  <c r="G118" i="2"/>
  <c r="AC117" i="2"/>
  <c r="AC116" i="2"/>
  <c r="G116" i="2"/>
  <c r="AC115" i="2"/>
  <c r="G115" i="2"/>
  <c r="AC114" i="2"/>
  <c r="AC113" i="2"/>
  <c r="G113" i="2"/>
  <c r="AC112" i="2"/>
  <c r="G112" i="2"/>
  <c r="AC111" i="2"/>
  <c r="G111" i="2"/>
  <c r="AC110" i="2"/>
  <c r="G110" i="2"/>
  <c r="AC109" i="2"/>
  <c r="AC108" i="2"/>
  <c r="G108" i="2"/>
  <c r="AC107" i="2"/>
  <c r="G107" i="2"/>
  <c r="AC106" i="2"/>
  <c r="AC105" i="2"/>
  <c r="G105" i="2"/>
  <c r="AC104" i="2"/>
  <c r="G104" i="2"/>
  <c r="AC103" i="2"/>
  <c r="G103" i="2"/>
  <c r="AC102" i="2"/>
  <c r="G102" i="2"/>
  <c r="AC101" i="2"/>
  <c r="G101" i="2"/>
  <c r="AC100" i="2"/>
  <c r="AC99" i="2"/>
  <c r="AC98" i="2"/>
  <c r="AC97" i="2"/>
  <c r="G97" i="2"/>
  <c r="AC96" i="2"/>
  <c r="G96" i="2"/>
  <c r="AC95" i="2"/>
  <c r="AC94" i="2"/>
  <c r="G94" i="2"/>
  <c r="AC93" i="2"/>
  <c r="G93" i="2"/>
  <c r="AC92" i="2"/>
  <c r="AC91" i="2"/>
  <c r="G91" i="2"/>
  <c r="AC90" i="2"/>
  <c r="G90" i="2"/>
  <c r="AC89" i="2"/>
  <c r="AC88" i="2"/>
  <c r="G88" i="2"/>
  <c r="AC87" i="2"/>
  <c r="G87" i="2"/>
  <c r="AC86" i="2"/>
  <c r="G86" i="2"/>
  <c r="AC85" i="2"/>
  <c r="AC84" i="2"/>
  <c r="AC83" i="2"/>
  <c r="G83" i="2"/>
  <c r="AC82" i="2"/>
  <c r="AC81" i="2"/>
  <c r="AC80" i="2"/>
  <c r="AC79" i="2"/>
  <c r="AC78" i="2"/>
  <c r="G78" i="2"/>
  <c r="AC77" i="2"/>
  <c r="G77" i="2"/>
  <c r="AC76" i="2"/>
  <c r="AC75" i="2"/>
  <c r="AC74" i="2"/>
  <c r="AC73" i="2"/>
  <c r="AC72" i="2"/>
  <c r="AC71" i="2"/>
  <c r="G71" i="2"/>
  <c r="AC70" i="2"/>
  <c r="AC69" i="2"/>
  <c r="AC68" i="2"/>
  <c r="AC67" i="2"/>
  <c r="AC66" i="2"/>
  <c r="G66" i="2"/>
  <c r="AC65" i="2"/>
  <c r="AC64" i="2"/>
  <c r="AC63" i="2"/>
  <c r="G63" i="2"/>
  <c r="AC62" i="2"/>
  <c r="AC61" i="2"/>
  <c r="AC60" i="2"/>
  <c r="G60" i="2"/>
  <c r="AC59" i="2"/>
  <c r="AC58" i="2"/>
  <c r="AC57" i="2"/>
  <c r="AC56" i="2"/>
  <c r="AC55" i="2"/>
  <c r="G55" i="2"/>
  <c r="AC54" i="2"/>
  <c r="G54" i="2"/>
  <c r="AC53" i="2"/>
  <c r="AC52" i="2"/>
  <c r="AC51" i="2"/>
  <c r="G51" i="2"/>
  <c r="AC50" i="2"/>
  <c r="G50" i="2"/>
  <c r="AC49" i="2"/>
  <c r="AC48" i="2"/>
  <c r="AC47" i="2"/>
  <c r="G47" i="2"/>
  <c r="AC46" i="2"/>
  <c r="AC45" i="2"/>
  <c r="AC44" i="2"/>
  <c r="G44" i="2"/>
  <c r="AC43" i="2"/>
  <c r="G43" i="2"/>
  <c r="AC42" i="2"/>
  <c r="G42" i="2"/>
  <c r="AC41" i="2"/>
  <c r="G41" i="2"/>
  <c r="AC40" i="2"/>
  <c r="G40" i="2"/>
  <c r="AC39" i="2"/>
  <c r="AC38" i="2"/>
  <c r="G38" i="2"/>
  <c r="AC37" i="2"/>
  <c r="G37" i="2"/>
  <c r="AC36" i="2"/>
  <c r="AC35" i="2"/>
  <c r="G35" i="2"/>
  <c r="AC34" i="2"/>
  <c r="AC33" i="2"/>
  <c r="AC32" i="2"/>
  <c r="G32" i="2"/>
  <c r="AC31" i="2"/>
  <c r="G31" i="2"/>
  <c r="AC30" i="2"/>
  <c r="G30" i="2"/>
  <c r="AC29" i="2"/>
  <c r="G29" i="2"/>
  <c r="AC28" i="2"/>
  <c r="G28" i="2"/>
  <c r="AC27" i="2"/>
  <c r="AC26" i="2"/>
  <c r="G26" i="2"/>
  <c r="AC25" i="2"/>
  <c r="AC24" i="2"/>
  <c r="G24" i="2"/>
  <c r="AC23" i="2"/>
  <c r="AC22" i="2"/>
  <c r="AC21" i="2"/>
  <c r="AC20" i="2"/>
  <c r="G20" i="2"/>
  <c r="AC19" i="2"/>
  <c r="G19" i="2"/>
  <c r="AC18" i="2"/>
  <c r="AC17" i="2"/>
  <c r="G17" i="2"/>
  <c r="AC16" i="2"/>
  <c r="AC15" i="2"/>
  <c r="G15" i="2"/>
  <c r="AC14" i="2"/>
  <c r="G14" i="2"/>
  <c r="AC13" i="2"/>
  <c r="G13" i="2"/>
  <c r="AC12" i="2"/>
  <c r="AC11" i="2"/>
  <c r="G11" i="2"/>
  <c r="AC10" i="2"/>
  <c r="AC9" i="2"/>
  <c r="AC8" i="2"/>
  <c r="G8" i="2"/>
  <c r="AC7" i="2"/>
  <c r="AC6" i="2"/>
  <c r="G6" i="2"/>
  <c r="AC5" i="2"/>
  <c r="G5" i="2"/>
</calcChain>
</file>

<file path=xl/sharedStrings.xml><?xml version="1.0" encoding="utf-8"?>
<sst xmlns="http://schemas.openxmlformats.org/spreadsheetml/2006/main" count="1873" uniqueCount="883">
  <si>
    <t>WKT</t>
  </si>
  <si>
    <t>ID</t>
  </si>
  <si>
    <t>LATITUDE</t>
  </si>
  <si>
    <t>LONGITUDE</t>
  </si>
  <si>
    <t>RODOVIA</t>
  </si>
  <si>
    <t>TRECHO</t>
  </si>
  <si>
    <t>DESCRIÇÃO INÍCIO</t>
  </si>
  <si>
    <t>DESCRIÇÃO FINAL</t>
  </si>
  <si>
    <t>SUGESTÃO</t>
  </si>
  <si>
    <t>SITUAÇÃO PISTA</t>
  </si>
  <si>
    <t>POINT (-40.637400 -3.571417)</t>
  </si>
  <si>
    <t>E 01</t>
  </si>
  <si>
    <t>CE-265</t>
  </si>
  <si>
    <t>265ECE0390S0</t>
  </si>
  <si>
    <t>ENTR. CE-189 (ARARENDÁ)</t>
  </si>
  <si>
    <t>ENTR. BR-404(A)/CE-192 (PORANGA)</t>
  </si>
  <si>
    <t>ENGEVIAS</t>
  </si>
  <si>
    <t>NÃO</t>
  </si>
  <si>
    <t>SIMPLES</t>
  </si>
  <si>
    <t>POINT (-39.490850 -4.761267)</t>
  </si>
  <si>
    <t>E 02</t>
  </si>
  <si>
    <t>265ECE0370S0</t>
  </si>
  <si>
    <t>ENTR. CE-187 (NOVA RUSSAS)</t>
  </si>
  <si>
    <t>POINT (-39.054300 -5.082167)</t>
  </si>
  <si>
    <t>E 04</t>
  </si>
  <si>
    <t>CE-123</t>
  </si>
  <si>
    <t>123ECE0140S0</t>
  </si>
  <si>
    <t>ENTR. CE-371(B)</t>
  </si>
  <si>
    <t>ENTR. CE-263 p/ JAGUARUANA</t>
  </si>
  <si>
    <t>POINT (-38.571483 -5.40215)</t>
  </si>
  <si>
    <t>E 05</t>
  </si>
  <si>
    <t>265ECE0190S0</t>
  </si>
  <si>
    <t>ENTR. CE-153</t>
  </si>
  <si>
    <t>ENTR. BR-122/CE-359 (QUIXADÁ)</t>
  </si>
  <si>
    <t>POINT (-39.028033 -5.736833)</t>
  </si>
  <si>
    <t>E 09</t>
  </si>
  <si>
    <t>CE-065</t>
  </si>
  <si>
    <t>065ECE0130S0</t>
  </si>
  <si>
    <t>ENTR. CE-155(B)/354(B)</t>
  </si>
  <si>
    <t>ENTR. CE-156 (PALMÁCIA)</t>
  </si>
  <si>
    <t>POINT (-39.201067 -5.681633)</t>
  </si>
  <si>
    <t>E 10</t>
  </si>
  <si>
    <t>CE-155</t>
  </si>
  <si>
    <t>155ECE0110S0</t>
  </si>
  <si>
    <t>ENTR. CE-354(A)/455</t>
  </si>
  <si>
    <t>ENTR. CE-065 (A) (BU)</t>
  </si>
  <si>
    <t>POINT (-39.055133 -4.856200)</t>
  </si>
  <si>
    <t>E 103</t>
  </si>
  <si>
    <t>CE-240</t>
  </si>
  <si>
    <t>240ECE0018S0</t>
  </si>
  <si>
    <t>ENTR. CE-176/557 (MIRAÍMA)</t>
  </si>
  <si>
    <t>CAIOCA</t>
  </si>
  <si>
    <t>POINT (-38.755600 -4.331117)</t>
  </si>
  <si>
    <t>E 104</t>
  </si>
  <si>
    <t>240ECE0016S0</t>
  </si>
  <si>
    <t>ENTR. CE-173 p/ BROTAS</t>
  </si>
  <si>
    <t>POINT (-40.702583 -5.170500)</t>
  </si>
  <si>
    <t>E 105</t>
  </si>
  <si>
    <t>CE-179</t>
  </si>
  <si>
    <t>179ECE0050S0</t>
  </si>
  <si>
    <t>ENTR. CE-085(B) (CRUZ)</t>
  </si>
  <si>
    <t>BELA CRUZ</t>
  </si>
  <si>
    <t>POINT (-39.995683 -6.791000)</t>
  </si>
  <si>
    <t>E 11</t>
  </si>
  <si>
    <t>CE-451</t>
  </si>
  <si>
    <t>451ECE0020S0</t>
  </si>
  <si>
    <t>ENTR. CE-597 (ACESSO SUL GUAIÚBA)</t>
  </si>
  <si>
    <t>ENTR. CE-155(A)/354(A)</t>
  </si>
  <si>
    <t>POINT (-39.451200 -6.476683)</t>
  </si>
  <si>
    <t>E 12</t>
  </si>
  <si>
    <t>CE-350</t>
  </si>
  <si>
    <t>350ECE0090S0</t>
  </si>
  <si>
    <t>ENTR. BR-116 (COLUNA)</t>
  </si>
  <si>
    <t>ENTR. CE-040</t>
  </si>
  <si>
    <t>POINT (-37.736900 -4.572550)</t>
  </si>
  <si>
    <t>E 138</t>
  </si>
  <si>
    <t>CE-060</t>
  </si>
  <si>
    <t>060ECE0310S0</t>
  </si>
  <si>
    <t>ENTR. CE-539 p/ CAIO PRADO</t>
  </si>
  <si>
    <t>ENTR. CE-456</t>
  </si>
  <si>
    <t>POINT (-38.753817 -7.388333)</t>
  </si>
  <si>
    <t>E 30</t>
  </si>
  <si>
    <t>065ECE0240S0</t>
  </si>
  <si>
    <t>ENTR. CE-586</t>
  </si>
  <si>
    <t>INÍCIO DA PISTA DUPLA</t>
  </si>
  <si>
    <t>POINT (-38.996917 -7.314633)</t>
  </si>
  <si>
    <t>E 31</t>
  </si>
  <si>
    <t>CE-257</t>
  </si>
  <si>
    <t>257ECE0145S0</t>
  </si>
  <si>
    <t>ENTR. CE-583</t>
  </si>
  <si>
    <t>ENTR. CE-065 (ARATUBA)</t>
  </si>
  <si>
    <t>POINT (-40.704783 -3.974150)</t>
  </si>
  <si>
    <t>E 32</t>
  </si>
  <si>
    <t>257ECE0150S0</t>
  </si>
  <si>
    <t>ENTR. BR-020 (A)</t>
  </si>
  <si>
    <t>POINT (-40.781883 -6.518033)</t>
  </si>
  <si>
    <t>P 03</t>
  </si>
  <si>
    <t>BR-020</t>
  </si>
  <si>
    <t>020BCE0600S0</t>
  </si>
  <si>
    <t>ENTR. CE-257 (CANINDÉ)</t>
  </si>
  <si>
    <t>CARIDADE</t>
  </si>
  <si>
    <t>COMOL</t>
  </si>
  <si>
    <t>POINT (-40.279186 -6.000084)</t>
  </si>
  <si>
    <t>P 04</t>
  </si>
  <si>
    <t>BR-116</t>
  </si>
  <si>
    <t>116BCE0090S1</t>
  </si>
  <si>
    <t>ACESSO SUL DE PACAJÚS</t>
  </si>
  <si>
    <t>ENTR. BR-122(A)/CE-354 (CHOROZINHO)</t>
  </si>
  <si>
    <t>POINT (-39.286983 -4.333050)</t>
  </si>
  <si>
    <t>P 05</t>
  </si>
  <si>
    <t>116BCE0160S0</t>
  </si>
  <si>
    <t>ENTR. CE-263 (P/JAGUARUANA)</t>
  </si>
  <si>
    <t>RUSSAS (ACESSO PRINCIPAL)</t>
  </si>
  <si>
    <t>POINT (-38.479294 -4.337191)</t>
  </si>
  <si>
    <t>P 08</t>
  </si>
  <si>
    <t>BR-222</t>
  </si>
  <si>
    <t>222BCE0040S0</t>
  </si>
  <si>
    <t>ENTR. CE-421 (PRIMAVERA)</t>
  </si>
  <si>
    <t>ENTR. CE-155 (P/PECÉM)</t>
  </si>
  <si>
    <t>POINT (-38.027167 -4.871367)</t>
  </si>
  <si>
    <t>P 09</t>
  </si>
  <si>
    <t>222BCE0110S0</t>
  </si>
  <si>
    <t>ENTR. CE-243 (ITAPAGÉ)</t>
  </si>
  <si>
    <t>ENTR. CE-176 (PATOS)</t>
  </si>
  <si>
    <t>POINT (-38.794967 -6.737967)</t>
  </si>
  <si>
    <t>P 10</t>
  </si>
  <si>
    <t>222BCE0230S1</t>
  </si>
  <si>
    <t>ENTR. CE-187 (ACESSO OESTE TIANGUÁ)</t>
  </si>
  <si>
    <t>DIV CE/PI</t>
  </si>
  <si>
    <t>POINT (-40.160783 -6.187200)</t>
  </si>
  <si>
    <t>P 109</t>
  </si>
  <si>
    <t>265ECE0210S0</t>
  </si>
  <si>
    <t>ENTR. CE-443</t>
  </si>
  <si>
    <t>DOM MAURÍCIO</t>
  </si>
  <si>
    <t>POINT (-39.067600 -7.769383)</t>
  </si>
  <si>
    <t>P 11</t>
  </si>
  <si>
    <t>BR-226</t>
  </si>
  <si>
    <t>226BCE0670S0</t>
  </si>
  <si>
    <t>ENTR. CE-176 (INDEPENDÊNCIA)</t>
  </si>
  <si>
    <t>ENTR. BR-404 (CRATEÚS)</t>
  </si>
  <si>
    <t>POINT (-38.858767 -3.702583)</t>
  </si>
  <si>
    <t>P 12</t>
  </si>
  <si>
    <t>BR-304</t>
  </si>
  <si>
    <t>304BCE0050S1</t>
  </si>
  <si>
    <t>ENTR. CE-371(P/CANOA QUEBRADA/MAJORLÂNDIA)</t>
  </si>
  <si>
    <t>ENTR. CE-261</t>
  </si>
  <si>
    <t>POINT (-39.795033 -3.745217)</t>
  </si>
  <si>
    <t>P 13</t>
  </si>
  <si>
    <t>CE-253</t>
  </si>
  <si>
    <t>253ECE0050S0</t>
  </si>
  <si>
    <t>GUANACÉS</t>
  </si>
  <si>
    <t>DETRAN</t>
  </si>
  <si>
    <t>POINT (-39.077333 -6.401183)</t>
  </si>
  <si>
    <t>P 154</t>
  </si>
  <si>
    <t>CE-368</t>
  </si>
  <si>
    <t>368ECE0010S0</t>
  </si>
  <si>
    <t>ENTR. BR-122(A)/CE-060</t>
  </si>
  <si>
    <t>ENTR.CE-582</t>
  </si>
  <si>
    <t>POINT (-41.011767 -3.746817)</t>
  </si>
  <si>
    <t>P 17</t>
  </si>
  <si>
    <t>060ECE0390S0</t>
  </si>
  <si>
    <t>ENTR. CE-166(B)</t>
  </si>
  <si>
    <t>ENTR. CE-598 p/ SÃO MIGUEL</t>
  </si>
  <si>
    <t>POINT (-40.474517 -4.040883)</t>
  </si>
  <si>
    <t>P 177</t>
  </si>
  <si>
    <t>CE-456</t>
  </si>
  <si>
    <t>456ECE0010S0</t>
  </si>
  <si>
    <t>ENTR. BR-020</t>
  </si>
  <si>
    <t>TARGINOS</t>
  </si>
  <si>
    <t>POINT (-39.420050 -3.658650)</t>
  </si>
  <si>
    <t>P 184</t>
  </si>
  <si>
    <t>265ECE0250S0</t>
  </si>
  <si>
    <t>POINT (-40.638383 -5.192050)</t>
  </si>
  <si>
    <t>P 21</t>
  </si>
  <si>
    <t>CE-085</t>
  </si>
  <si>
    <t>085ECE0210D0</t>
  </si>
  <si>
    <t>ENTR. CE-162(A) p/ SERROTE</t>
  </si>
  <si>
    <t>ENTR. CE-162(B) p/ PARAIPABA</t>
  </si>
  <si>
    <t>DUPLA</t>
  </si>
  <si>
    <t>POINT (-37.649167 -4.621450)</t>
  </si>
  <si>
    <t>P 22</t>
  </si>
  <si>
    <t>085ECE0390S0</t>
  </si>
  <si>
    <t>ENTR. ACESSO BR-403(A)/CE-178 (ACARAÚ)</t>
  </si>
  <si>
    <t>ENTR. ACESSO BR-403(B)/CE-179(A) (CRUZ)</t>
  </si>
  <si>
    <t>POINT (-38.278217 -4.145817)</t>
  </si>
  <si>
    <t>P 23</t>
  </si>
  <si>
    <t>085ECE0590S0</t>
  </si>
  <si>
    <t>CHAVAL</t>
  </si>
  <si>
    <t>ENTR. BR-402(B)/DIVISA CE/PI</t>
  </si>
  <si>
    <t>POINT (-39.319133 -5.215167)</t>
  </si>
  <si>
    <t>P 24</t>
  </si>
  <si>
    <t>CE-138</t>
  </si>
  <si>
    <t>138ECE0110S0</t>
  </si>
  <si>
    <t>ENTR. CE-356 (PATOS)</t>
  </si>
  <si>
    <t>ENTR. CE-265 (MORADA NOVA)</t>
  </si>
  <si>
    <t>POINT (-39.306433 -7.168783)</t>
  </si>
  <si>
    <t>P 25</t>
  </si>
  <si>
    <t>CE-166</t>
  </si>
  <si>
    <t>166ECE0050S0</t>
  </si>
  <si>
    <t>ENTR. CE-060 (B)</t>
  </si>
  <si>
    <t>ENTR. CE-449 (CANHOTINHO)</t>
  </si>
  <si>
    <t>POINT (-40.830300 -4.760467)</t>
  </si>
  <si>
    <t>P 41</t>
  </si>
  <si>
    <t>060ECE0360S0</t>
  </si>
  <si>
    <t>ENTR. BR-122(B)/CE-368</t>
  </si>
  <si>
    <t>ENTR. CE-166(A)/266(A)/473 (QUIXERAMOBIM)</t>
  </si>
  <si>
    <t>POINT (-39.752000 -5.120733)</t>
  </si>
  <si>
    <t>E 139</t>
  </si>
  <si>
    <t>CE-187</t>
  </si>
  <si>
    <t>187ECE0440S0</t>
  </si>
  <si>
    <t>SUCESSO</t>
  </si>
  <si>
    <t>ENTR. BR-404(A)/CE-189</t>
  </si>
  <si>
    <t>POINT (-39.500617 -6.539967)</t>
  </si>
  <si>
    <t>E 14</t>
  </si>
  <si>
    <t>187ECE0230S0</t>
  </si>
  <si>
    <t>ENTR. CE-418/CE-589 (ACESSO TIANGUÁ)</t>
  </si>
  <si>
    <t>ENTR. CE-590 (ACESSO NORTE P/ UBAJARA)</t>
  </si>
  <si>
    <t>POINT (-39.305800 -5.172467)</t>
  </si>
  <si>
    <t>E 140</t>
  </si>
  <si>
    <t>257ECE0290S0</t>
  </si>
  <si>
    <t>ENTR. CE-508 (HIDROLÂNDIA)</t>
  </si>
  <si>
    <t>ENTR. CE-187(A)/BR-403(A)</t>
  </si>
  <si>
    <t>POINT (-38.869150 -3.695700)</t>
  </si>
  <si>
    <t>E 141</t>
  </si>
  <si>
    <t>253ECE0470S0</t>
  </si>
  <si>
    <t>ENTR. BR-403/CE-183 (CARIRÉ)</t>
  </si>
  <si>
    <t>ENTR. CE-321(A) (CACIMBAS)</t>
  </si>
  <si>
    <t>POINT (-40.302650 -3.690467)</t>
  </si>
  <si>
    <t>E 144</t>
  </si>
  <si>
    <t>CE-356</t>
  </si>
  <si>
    <t>356ECE0050S0</t>
  </si>
  <si>
    <t>ENTR. CE-065(B) (CRUZ)</t>
  </si>
  <si>
    <t>ENTR. CE-596 (BATURITÉ)</t>
  </si>
  <si>
    <t>POINT (-38.984333 -6.935367)</t>
  </si>
  <si>
    <t>E 151</t>
  </si>
  <si>
    <t>CE-362</t>
  </si>
  <si>
    <t>362ECE0250S0</t>
  </si>
  <si>
    <t>ENTR. CE-176(B)</t>
  </si>
  <si>
    <t>ENTR. CE-173/252 (TAPERUABA)</t>
  </si>
  <si>
    <t>POINT (-40.697533 -5.212200)</t>
  </si>
  <si>
    <t>E 152</t>
  </si>
  <si>
    <t>CE-176</t>
  </si>
  <si>
    <t>176ECE0160S0</t>
  </si>
  <si>
    <t>ENTR. CE-362(A) p/ TAPERUABA</t>
  </si>
  <si>
    <t>ENTR. CE-362(B) (OLHO D'AGUA PAJÉ)</t>
  </si>
  <si>
    <t>POINT (-40.714517 -4.392983)</t>
  </si>
  <si>
    <t>E 153</t>
  </si>
  <si>
    <t>240ECE0002S0</t>
  </si>
  <si>
    <t>ENTR. CE-085/163 (PARRA)</t>
  </si>
  <si>
    <t>ENTR. CE-333</t>
  </si>
  <si>
    <t>POINT (-40.273667 -6.002533)</t>
  </si>
  <si>
    <t>E 157</t>
  </si>
  <si>
    <t>138ECE0070S0</t>
  </si>
  <si>
    <t>ENTR. BR-116(B) (CRISTAIS)</t>
  </si>
  <si>
    <t>ARUARU</t>
  </si>
  <si>
    <t>POINT (-40.296388 -5.983218)</t>
  </si>
  <si>
    <t>E 175</t>
  </si>
  <si>
    <t>155ECE0150S0</t>
  </si>
  <si>
    <t>ENTR. CE-451 (B)</t>
  </si>
  <si>
    <t>ENTR. CE-060/354(B)</t>
  </si>
  <si>
    <t>POINT (-38.340950 -6.029667)</t>
  </si>
  <si>
    <t>E 176</t>
  </si>
  <si>
    <t>060ECE0130E0</t>
  </si>
  <si>
    <t>ENTR. CE-155/354(A)</t>
  </si>
  <si>
    <t>POINT (-38.004567 -5.081200)</t>
  </si>
  <si>
    <t>E 22</t>
  </si>
  <si>
    <t>CE-168</t>
  </si>
  <si>
    <t>168ECE0230S0</t>
  </si>
  <si>
    <t>ENTR. BR-222(B) (PEDRA D'AGUA)</t>
  </si>
  <si>
    <t>ENTR. CE-253(A)/169 (TEJUÇUOCA)</t>
  </si>
  <si>
    <t>POINT (-38.194850 -5.233000)</t>
  </si>
  <si>
    <t>E 23</t>
  </si>
  <si>
    <t>CE-341</t>
  </si>
  <si>
    <t>341ECE0150S0</t>
  </si>
  <si>
    <t>APUIARÉS</t>
  </si>
  <si>
    <t>ENTR. CE-168/253</t>
  </si>
  <si>
    <t>POINT (-38.893267 -7.307983)</t>
  </si>
  <si>
    <t>E 25</t>
  </si>
  <si>
    <t>065ECE0150S0</t>
  </si>
  <si>
    <t>ENTR. CE-156 (PALMACIA)</t>
  </si>
  <si>
    <t>ENTR. CE-253(A) (PACOTI)</t>
  </si>
  <si>
    <t>POINT (-39.146183 -6.953350)</t>
  </si>
  <si>
    <t>E 26</t>
  </si>
  <si>
    <t>065ECE0170S0</t>
  </si>
  <si>
    <t>ENTR. CE-253 (B)</t>
  </si>
  <si>
    <t>ENTR. CE-356(A) (GUARAMIRANGA)</t>
  </si>
  <si>
    <t>POINT (-38.357017 -3.962867)</t>
  </si>
  <si>
    <t>E 45</t>
  </si>
  <si>
    <t>CE-455</t>
  </si>
  <si>
    <t>455ECE0010S0</t>
  </si>
  <si>
    <t>ENTR. CE-065 (LADEIRA GRANDE)</t>
  </si>
  <si>
    <t>POINT (-38.206500 -4.042533)</t>
  </si>
  <si>
    <t>E 90</t>
  </si>
  <si>
    <t>CE-311</t>
  </si>
  <si>
    <t>311ECE0030S0</t>
  </si>
  <si>
    <t>ENTR. CE-364</t>
  </si>
  <si>
    <t>SANTA TEREZINHA</t>
  </si>
  <si>
    <t>POINT (-38.491467 -5.247983)</t>
  </si>
  <si>
    <t>N 01</t>
  </si>
  <si>
    <t>ENTR. CE-085</t>
  </si>
  <si>
    <t>POINT (-38.112083 -4.226050)</t>
  </si>
  <si>
    <t>N 02</t>
  </si>
  <si>
    <t>BR-404</t>
  </si>
  <si>
    <t>404BCE0050N0</t>
  </si>
  <si>
    <t>ENTR. BR-265(A)/DIV PI/CE</t>
  </si>
  <si>
    <t>ENTR CE-192/265(B) (PORANGA)</t>
  </si>
  <si>
    <t>NÃO PAVIMENTADA</t>
  </si>
  <si>
    <t>POINT (-38.112933 -4.228350)</t>
  </si>
  <si>
    <t>N 03</t>
  </si>
  <si>
    <t>226BCE0470S0</t>
  </si>
  <si>
    <t>ENTR CE-138(B) (PEREIRO)</t>
  </si>
  <si>
    <t>ENTR BR-116(A)</t>
  </si>
  <si>
    <t>POINT (-39.719667 -5.140817)</t>
  </si>
  <si>
    <t>P 100</t>
  </si>
  <si>
    <t>253ECE0150S0</t>
  </si>
  <si>
    <t>REDENÇÃO</t>
  </si>
  <si>
    <t>GUASSI</t>
  </si>
  <si>
    <t>POINT (-39.869117 -6.585717)</t>
  </si>
  <si>
    <t>P 101</t>
  </si>
  <si>
    <t>253ECE0450S0</t>
  </si>
  <si>
    <t>ENTR. CE-179 (B) (GROAÍRAS)</t>
  </si>
  <si>
    <t>ENTR. CE-520 P/ GROAÍRAS</t>
  </si>
  <si>
    <t>POINT (-39.855050 -6.582400)</t>
  </si>
  <si>
    <t>P 102</t>
  </si>
  <si>
    <t>253ECE0510S0</t>
  </si>
  <si>
    <t>ENTR. CE-321(B) (MUCAMBO)</t>
  </si>
  <si>
    <t>ENTR. CE-187 (IBIAPINA)</t>
  </si>
  <si>
    <t>POINT (-39.626750 -3.478767)</t>
  </si>
  <si>
    <t>P 105</t>
  </si>
  <si>
    <t>257ECE0340S0</t>
  </si>
  <si>
    <t>ENTR. CE-189</t>
  </si>
  <si>
    <t>MATRIZ</t>
  </si>
  <si>
    <t>POINT (-39.970650 -3.561700)</t>
  </si>
  <si>
    <t>P 106</t>
  </si>
  <si>
    <t>CE-261</t>
  </si>
  <si>
    <t>261ECE0090S0</t>
  </si>
  <si>
    <t>ENTR. CE-549 p/ REDONDA (ICAPUÍ)</t>
  </si>
  <si>
    <t>ENTR. BR-304</t>
  </si>
  <si>
    <t>POINT (-40.297283 -5.405800)</t>
  </si>
  <si>
    <t>P 107</t>
  </si>
  <si>
    <t>CE-263</t>
  </si>
  <si>
    <t>263ECE0030S0</t>
  </si>
  <si>
    <t>ENTR. CE-123</t>
  </si>
  <si>
    <t>ENTR. BR-116/CE-356</t>
  </si>
  <si>
    <t>POINT (-39.975400 -6.776433)</t>
  </si>
  <si>
    <t>P 111</t>
  </si>
  <si>
    <t>265ECE0350S0</t>
  </si>
  <si>
    <t>ENTR. CE-176 (MORRO REDONDO)</t>
  </si>
  <si>
    <t>POINT (-39.879717 -7.057150)</t>
  </si>
  <si>
    <t>P 112</t>
  </si>
  <si>
    <t>BR-437</t>
  </si>
  <si>
    <t>437BCE0020N2</t>
  </si>
  <si>
    <t>DIV RN/CE</t>
  </si>
  <si>
    <t>ENTR BR-116/CE-266</t>
  </si>
  <si>
    <t>POINT (-39.890167 -2.978267)</t>
  </si>
  <si>
    <t>P 113</t>
  </si>
  <si>
    <t>CE-266</t>
  </si>
  <si>
    <t>266ECE0130S0</t>
  </si>
  <si>
    <t>SALVAÇÃO</t>
  </si>
  <si>
    <t>POINT (-40.118617 -2.908783)</t>
  </si>
  <si>
    <t>P 115</t>
  </si>
  <si>
    <t>CE-269</t>
  </si>
  <si>
    <t>269ECE0090S0</t>
  </si>
  <si>
    <t>ENTR. CE-546 p/ JAGUARIBARA</t>
  </si>
  <si>
    <t>ENTR. CE-371</t>
  </si>
  <si>
    <t>POINT (-40.299667 -3.689500)</t>
  </si>
  <si>
    <t>P 117</t>
  </si>
  <si>
    <t>CE-275</t>
  </si>
  <si>
    <t>275ECE0050S0</t>
  </si>
  <si>
    <t>FEITICEIRO</t>
  </si>
  <si>
    <t>ENTR. CE-153(A)</t>
  </si>
  <si>
    <t>POINT (-40.335917 -3.720283)</t>
  </si>
  <si>
    <t>P 128</t>
  </si>
  <si>
    <t>POINT (-40.474150 -4.039233)</t>
  </si>
  <si>
    <t>P 129</t>
  </si>
  <si>
    <t>CE-321</t>
  </si>
  <si>
    <t>321ECE0010S0</t>
  </si>
  <si>
    <t>ENTR. BR-222 (APRAZÍVEL)</t>
  </si>
  <si>
    <t>ENTR. CE-253(A) (CACIMBAS)</t>
  </si>
  <si>
    <t>POINT (-40.854500 -4.117717)</t>
  </si>
  <si>
    <t>P 130</t>
  </si>
  <si>
    <t>321ECE0090S0</t>
  </si>
  <si>
    <t>POINT (-40.729683 -4.558617)</t>
  </si>
  <si>
    <t>P 131</t>
  </si>
  <si>
    <t>CE-323</t>
  </si>
  <si>
    <t>323ECE0030S0</t>
  </si>
  <si>
    <t>ENTR. CE-192(B) (CARNAUBAL)</t>
  </si>
  <si>
    <t>ENTR. CE-257 (DIVISA CE/PI)</t>
  </si>
  <si>
    <t>POINT (-40.670617 -5.146533)</t>
  </si>
  <si>
    <t>P 133</t>
  </si>
  <si>
    <t>CE-329</t>
  </si>
  <si>
    <t>AMANAIARA</t>
  </si>
  <si>
    <t>POINT (-40.957650 -4.063150)</t>
  </si>
  <si>
    <t>P 134</t>
  </si>
  <si>
    <t>341ECE0010S0</t>
  </si>
  <si>
    <t>ENTR. CE-348 (B)</t>
  </si>
  <si>
    <t>ENTR. CE-085 (QUATRO BOCAS)</t>
  </si>
  <si>
    <t>POINT (-40.210117 -3.455983)</t>
  </si>
  <si>
    <t>P 135</t>
  </si>
  <si>
    <t>CE-348</t>
  </si>
  <si>
    <t>348ECE0110S0</t>
  </si>
  <si>
    <t>ENTR. CE-156(B) (GUARIBAS)</t>
  </si>
  <si>
    <t>PECÉM</t>
  </si>
  <si>
    <t>POINT (-40.385067 -3.510667)</t>
  </si>
  <si>
    <t>P 136</t>
  </si>
  <si>
    <t>CE-354</t>
  </si>
  <si>
    <t>354ECE0160S0</t>
  </si>
  <si>
    <t>ENTR. CE-553 p/ SÍTIO ALEGRE</t>
  </si>
  <si>
    <t>ENTR. CE-177 (NASCENTE)</t>
  </si>
  <si>
    <t>POINT (-40.664700 -3.554600)</t>
  </si>
  <si>
    <t>P 137</t>
  </si>
  <si>
    <t>168ECE0080S0</t>
  </si>
  <si>
    <t>ENTR. CE-414</t>
  </si>
  <si>
    <t>ARAPARI</t>
  </si>
  <si>
    <t>POINT (-38.910233 -4.227033)</t>
  </si>
  <si>
    <t>P 138</t>
  </si>
  <si>
    <t>BR-402</t>
  </si>
  <si>
    <t>402BCE0360S0</t>
  </si>
  <si>
    <t>ENTR CE-243 (VARJOTA)</t>
  </si>
  <si>
    <t>ENTR TRAVESSIA URBANA (UMIRIM)</t>
  </si>
  <si>
    <t>POINT (-40.403133 -3.908383)</t>
  </si>
  <si>
    <t>P 140</t>
  </si>
  <si>
    <t>354ECE0550S0</t>
  </si>
  <si>
    <t>BARREIRA</t>
  </si>
  <si>
    <t>ENTR. BR-116 (CHOROZINHO)</t>
  </si>
  <si>
    <t>POINT (-40.881767 -3.907817)</t>
  </si>
  <si>
    <t>P 141</t>
  </si>
  <si>
    <t>356ECE0070S0</t>
  </si>
  <si>
    <t>ENTR. CE-060</t>
  </si>
  <si>
    <t>POINT (-40.746033 -4.564683)</t>
  </si>
  <si>
    <t>P 143</t>
  </si>
  <si>
    <t>356ECE0310S0</t>
  </si>
  <si>
    <t>ENTR. CE-123(B) p/ QUIXERÉ</t>
  </si>
  <si>
    <t>ENTR. CE-377 (BONSUCESSO)</t>
  </si>
  <si>
    <t>POINT (-37.482100 -4.703383)</t>
  </si>
  <si>
    <t>P 144</t>
  </si>
  <si>
    <t>CE-358</t>
  </si>
  <si>
    <t>358ECE0110S0</t>
  </si>
  <si>
    <t>ENTR. CE-266(B)</t>
  </si>
  <si>
    <t>ENTR. CE-123 (OLHO D'ÁGUA DA BICA)</t>
  </si>
  <si>
    <t>POINT (-37.881217 -4.820333)</t>
  </si>
  <si>
    <t>P 145</t>
  </si>
  <si>
    <t>020BCE0650S4</t>
  </si>
  <si>
    <t>ENTR CE-354 (P/ITAPEBUSSÚ)</t>
  </si>
  <si>
    <t>ENTR BR-222</t>
  </si>
  <si>
    <t>POINT (-39.042650 -4.962467)</t>
  </si>
  <si>
    <t>P 146</t>
  </si>
  <si>
    <t>362ECE0030S0</t>
  </si>
  <si>
    <t>CE-085(B) p/ PARAZINHO</t>
  </si>
  <si>
    <t>ENTR. BR-402 (B)/CE-216 (B)</t>
  </si>
  <si>
    <t>POINT (-40.534300 -4.705817)</t>
  </si>
  <si>
    <t>P 147</t>
  </si>
  <si>
    <t>362ECE0110S0</t>
  </si>
  <si>
    <t>ENTR. CE-232(B)/240(B) (MASSAPÊ)</t>
  </si>
  <si>
    <t>ENTR. CE-417 (CONTORNO DE SOBRAL)</t>
  </si>
  <si>
    <t>POINT (-37.964933 -5.222717)</t>
  </si>
  <si>
    <t>P 148</t>
  </si>
  <si>
    <t>POINT (-38.499933 -5.249717)</t>
  </si>
  <si>
    <t>P 149</t>
  </si>
  <si>
    <t>CE-363</t>
  </si>
  <si>
    <t>363ECE0010N0</t>
  </si>
  <si>
    <t>POINT (-38.569200 -5.402150)</t>
  </si>
  <si>
    <t>P 150</t>
  </si>
  <si>
    <t>CE-364</t>
  </si>
  <si>
    <t>364ECE0060S0</t>
  </si>
  <si>
    <t>ENTR. CE-354</t>
  </si>
  <si>
    <t>ENTR. CE-232 (MORAÚJO)</t>
  </si>
  <si>
    <t>POINT (-38.879700 -5.972733)</t>
  </si>
  <si>
    <t>P 151</t>
  </si>
  <si>
    <t>364ECE0110S0</t>
  </si>
  <si>
    <t>ENTR. CE-241 p/ ALCÂNTARAS</t>
  </si>
  <si>
    <t>POINT (-38.797317 -6.425950)</t>
  </si>
  <si>
    <t>P 153</t>
  </si>
  <si>
    <t>CE-366</t>
  </si>
  <si>
    <t>366ECE0190S0</t>
  </si>
  <si>
    <t>ENTR. CE-168(B) (LAGOA DO MATO)</t>
  </si>
  <si>
    <t>ENTR. BR-020 (MACAOCA)</t>
  </si>
  <si>
    <t>POINT (-39.325233 -6.374167)</t>
  </si>
  <si>
    <t>P 155</t>
  </si>
  <si>
    <t>CE-371</t>
  </si>
  <si>
    <t>371ECE0290S0</t>
  </si>
  <si>
    <t>ENTR. CE-269 p/ JAGUARIBARA</t>
  </si>
  <si>
    <t>ENTR. CE-368(A)</t>
  </si>
  <si>
    <t>POINT (-38.789850 -6.643650)</t>
  </si>
  <si>
    <t>P 156</t>
  </si>
  <si>
    <t>371ECE0330S0</t>
  </si>
  <si>
    <t>ENTR. BR-122(B) CE-153(B) (SOLONÓPOLE)</t>
  </si>
  <si>
    <t>ENTR. CE-473(A)</t>
  </si>
  <si>
    <t>POINT (-39.076433 -6.596750)</t>
  </si>
  <si>
    <t>P 157</t>
  </si>
  <si>
    <t>226BCE0550S3</t>
  </si>
  <si>
    <t>POINT (-38.955967 -6.944367)</t>
  </si>
  <si>
    <t>P 163</t>
  </si>
  <si>
    <t>CE-377</t>
  </si>
  <si>
    <t>377ECE0100S0</t>
  </si>
  <si>
    <t>ENTR. CE-458</t>
  </si>
  <si>
    <t>ENTR. CE-450 (CONTORNO DE LIMOEIRO DO NORTE)</t>
  </si>
  <si>
    <t>POINT (-41.143767 -3.566050)</t>
  </si>
  <si>
    <t>P 164</t>
  </si>
  <si>
    <t>377ECE0150S0</t>
  </si>
  <si>
    <t>ENTR. BR-116/CE-266 (PEIXE GORDO)</t>
  </si>
  <si>
    <t>ENTR. CE-138 (SÃO JOÃO DO JAGUARIBE)</t>
  </si>
  <si>
    <t>POINT (-40.655117 -3.847050)</t>
  </si>
  <si>
    <t>P 174</t>
  </si>
  <si>
    <t>321ECE0030S0</t>
  </si>
  <si>
    <t>ENTR. CE-253(B) (MUCAMBO)</t>
  </si>
  <si>
    <t>ENTR. CE-445 (PACUJÁ)</t>
  </si>
  <si>
    <t>POINT (-40.707567 -3.977350)</t>
  </si>
  <si>
    <t>P 175</t>
  </si>
  <si>
    <t>CE-453</t>
  </si>
  <si>
    <t>453ECE0030S0</t>
  </si>
  <si>
    <t>ENTR. CE-532 p/ TAPERA (AQUIRAZ)</t>
  </si>
  <si>
    <t>ENTR. CE-040 (FACUNDES)</t>
  </si>
  <si>
    <t>POINT (-40.952933 -4.167733)</t>
  </si>
  <si>
    <t>P 176</t>
  </si>
  <si>
    <t>CE-454</t>
  </si>
  <si>
    <t>454ECE0030S0</t>
  </si>
  <si>
    <t>ENTR. CE-543 p/ BATOQUE</t>
  </si>
  <si>
    <t>ENTR. CE-585</t>
  </si>
  <si>
    <t>POINT (-39.073350 -3.527300)</t>
  </si>
  <si>
    <t>P 178</t>
  </si>
  <si>
    <t>CE-464</t>
  </si>
  <si>
    <t>464ECE0010S0</t>
  </si>
  <si>
    <t>ENTR. CE-060 (ANTÔNIO DIOGO)</t>
  </si>
  <si>
    <t>VAZANTES</t>
  </si>
  <si>
    <t>POINT (-38.885983 -3.553567)</t>
  </si>
  <si>
    <t>P 179</t>
  </si>
  <si>
    <t>CE-469</t>
  </si>
  <si>
    <t>469ECE0025S0</t>
  </si>
  <si>
    <t>ENTR. CE-447 (CONTORNO DE CRATEÚS)</t>
  </si>
  <si>
    <t>ENTR. BR-226 (B)</t>
  </si>
  <si>
    <t>POINT (-40.011833 -3.233867)</t>
  </si>
  <si>
    <t>P 181</t>
  </si>
  <si>
    <t>371ECE0050S0</t>
  </si>
  <si>
    <t>ENTR. CE-505 p/ CANOA QUEBRADA</t>
  </si>
  <si>
    <t>ENTR. BR-304 (A)</t>
  </si>
  <si>
    <t>POINT (-39.583283 -3.516817)</t>
  </si>
  <si>
    <t>P 183</t>
  </si>
  <si>
    <t>266ECE0270S0</t>
  </si>
  <si>
    <t>ENTR. BR-020/CE-168(B) (BOA VIAGEM)</t>
  </si>
  <si>
    <t>ENTR. CE-467 (NOSSA SENHORA DO LIVRAMENTO)"</t>
  </si>
  <si>
    <t>POINT (-38.625467 -4.290150)</t>
  </si>
  <si>
    <t>P 185</t>
  </si>
  <si>
    <t>155ECE0050E0</t>
  </si>
  <si>
    <t>ENTR. BR-222</t>
  </si>
  <si>
    <t>POINT (-38.860783 -4.348333)</t>
  </si>
  <si>
    <t>P 186</t>
  </si>
  <si>
    <t>CE-178</t>
  </si>
  <si>
    <t>178ECE0110S0</t>
  </si>
  <si>
    <t>ENTR. CE-240(B) p/ MIRAÍMA</t>
  </si>
  <si>
    <t>ENTR. BR-222/403(B)/CE-362</t>
  </si>
  <si>
    <t>POINT (-37.783000 -5.038017)</t>
  </si>
  <si>
    <t>P 188</t>
  </si>
  <si>
    <t>187ECE0480S0</t>
  </si>
  <si>
    <t>ENTR. CE-523 p/ AEROPORTO (CRATEÚS</t>
  </si>
  <si>
    <t>ENTR. CE-533 p/ REALEJO (CRATEÚS)</t>
  </si>
  <si>
    <t>POINT (-38.108717 -5.275600)</t>
  </si>
  <si>
    <t>P 189</t>
  </si>
  <si>
    <t>187ECE0350S0</t>
  </si>
  <si>
    <t>ENTR. CE-329 (IPU)</t>
  </si>
  <si>
    <t>ENTR. BR-403(A)/CE-257(A) p/ HIDROLÂNDIA</t>
  </si>
  <si>
    <t>POINT (-38.675417 -3.772800)</t>
  </si>
  <si>
    <t>P 194</t>
  </si>
  <si>
    <t>CE-278</t>
  </si>
  <si>
    <t>278ECE0010S0</t>
  </si>
  <si>
    <t>ENTR. BR-226 (A) (DIVISA RN/CE)</t>
  </si>
  <si>
    <t>ENTR. CE-138/BR-226 (B) (ERERÊ)</t>
  </si>
  <si>
    <t>POINT (-40.815800 -3.133467)</t>
  </si>
  <si>
    <t>P 195</t>
  </si>
  <si>
    <t>371ECE0250S0</t>
  </si>
  <si>
    <t>ENTR. CE-138</t>
  </si>
  <si>
    <t>ENTR. CE-266(A) (ROLDÃO)</t>
  </si>
  <si>
    <t>POINT (-40.353867 -3.639233)</t>
  </si>
  <si>
    <t>P 196</t>
  </si>
  <si>
    <t>CE-040</t>
  </si>
  <si>
    <t>040ECE0250D0</t>
  </si>
  <si>
    <t>ENTR. CE-565 p/ BEBERIBE</t>
  </si>
  <si>
    <t>ENTR. CE-497 p/ ITAPEIM</t>
  </si>
  <si>
    <t>POINT (-40.085767 -3.991167)</t>
  </si>
  <si>
    <t>P 197</t>
  </si>
  <si>
    <t>CE-497</t>
  </si>
  <si>
    <t>497ECE0010S0</t>
  </si>
  <si>
    <t>ITAPEIM</t>
  </si>
  <si>
    <t>POINT (-39.391033 -5.592583)</t>
  </si>
  <si>
    <t>P 198</t>
  </si>
  <si>
    <t>304BCE0010S0</t>
  </si>
  <si>
    <t>ENTR BR-116 (BOQUEIRÃOO DO CESÁRIO)</t>
  </si>
  <si>
    <t>ENTR CE-123</t>
  </si>
  <si>
    <t>POINT (-40.686550 -3.401450)</t>
  </si>
  <si>
    <t>P 199</t>
  </si>
  <si>
    <t>116BCE0030E0</t>
  </si>
  <si>
    <t>ANEL VIÁRIO DE FORTALEZA</t>
  </si>
  <si>
    <t>ENTR CE-350(A) (ITAITINGA)</t>
  </si>
  <si>
    <t>POINT (-39.140067 -3.487983)</t>
  </si>
  <si>
    <t>P 26</t>
  </si>
  <si>
    <t>CE-183</t>
  </si>
  <si>
    <t>183ECE0030S0</t>
  </si>
  <si>
    <t>ENTR. CE-325 (JAIBARAS)</t>
  </si>
  <si>
    <t>ENTR. CE-253 (CARIRÉ)</t>
  </si>
  <si>
    <t>POINT (-40.170183 -2.915767)</t>
  </si>
  <si>
    <t>P 27</t>
  </si>
  <si>
    <t>187ECE0275S0</t>
  </si>
  <si>
    <t>ENTR. CE-422 (CONTORNO DE IBIAPINA)</t>
  </si>
  <si>
    <t>ENTR. CE-321(A)</t>
  </si>
  <si>
    <t>POINT (-41.252067 -3.076750)</t>
  </si>
  <si>
    <t>P 29</t>
  </si>
  <si>
    <t>CE-189</t>
  </si>
  <si>
    <t>189ECE0040S0</t>
  </si>
  <si>
    <t>ENTR. CE-265 (ARARENDÁ)</t>
  </si>
  <si>
    <t>ENTR. CE-518 (MULUNGU)</t>
  </si>
  <si>
    <t>POINT (-38.404467 -5.071550)</t>
  </si>
  <si>
    <t>P 33</t>
  </si>
  <si>
    <t>354ECE0220S0</t>
  </si>
  <si>
    <t>ENTR. BR-402 (A)</t>
  </si>
  <si>
    <t>ENTR. CE-333 (TURURU)</t>
  </si>
  <si>
    <t>POINT (-39.311550 -5.214283)</t>
  </si>
  <si>
    <t>P 34</t>
  </si>
  <si>
    <t>CE-359</t>
  </si>
  <si>
    <t>359ECE0050S0</t>
  </si>
  <si>
    <t>ENTR. CE-356 (CÓRREGO DO FACÓ)</t>
  </si>
  <si>
    <t>ENTR. CE-153 (PIRANGI)</t>
  </si>
  <si>
    <t>POINT (-40.499317 -3.778367)</t>
  </si>
  <si>
    <t>P 35</t>
  </si>
  <si>
    <t>362ECE0095S0</t>
  </si>
  <si>
    <t>ENTR. CE-578</t>
  </si>
  <si>
    <t>ENTR. CE-232(A)/240(A)</t>
  </si>
  <si>
    <t>POINT (-40.889217 -3.943867)</t>
  </si>
  <si>
    <t>P 36</t>
  </si>
  <si>
    <t>364ECE0010S0</t>
  </si>
  <si>
    <t>ENTR. CE-085/216/362/BR-402 (GRANJA)</t>
  </si>
  <si>
    <t>ENTR. CE-311</t>
  </si>
  <si>
    <t>POINT (-40.395567 -7.078450)</t>
  </si>
  <si>
    <t>P 39</t>
  </si>
  <si>
    <t>377ECE0010S0</t>
  </si>
  <si>
    <t>DIVISA RN/CE</t>
  </si>
  <si>
    <t>ENTR. CE-356 (BONSUCESSO)</t>
  </si>
  <si>
    <t>POINT (-39.089383 -6.395533)</t>
  </si>
  <si>
    <t>P 42</t>
  </si>
  <si>
    <t>060ECE0410S0</t>
  </si>
  <si>
    <t>ENTR. BR-226(A) (BONFIM)</t>
  </si>
  <si>
    <t>ENTR. BR-226(B) (MINEIROLÂNDIA)</t>
  </si>
  <si>
    <t>POINT (-39.130950 -7.252733)</t>
  </si>
  <si>
    <t>P 46</t>
  </si>
  <si>
    <t>116BCE0110S0</t>
  </si>
  <si>
    <t>ENTR BR-122(B) (P/QUIXADA)</t>
  </si>
  <si>
    <t>ENTR CE-138 (P/MORADA NOVA)</t>
  </si>
  <si>
    <t>POINT (-39.541500 -3.476733)</t>
  </si>
  <si>
    <t>P 48</t>
  </si>
  <si>
    <t>065ECE0230S0</t>
  </si>
  <si>
    <t>MULUNGU</t>
  </si>
  <si>
    <t>POINT (-38.620183 -4.587183)</t>
  </si>
  <si>
    <t>P 49</t>
  </si>
  <si>
    <t>085ECE0280D0</t>
  </si>
  <si>
    <t>ENTR. CE-333 p/ CÓRREGO FUNDO (TRAIRI)</t>
  </si>
  <si>
    <t>ENTR. CE-346</t>
  </si>
  <si>
    <t>POINT (-40.395717 -3.466300)</t>
  </si>
  <si>
    <t>P 52</t>
  </si>
  <si>
    <t>085ECE0420S0</t>
  </si>
  <si>
    <t>ENTR. CE-179(B) (LAGOA VELHA)</t>
  </si>
  <si>
    <t>ENTR. CE-563 (AEROPORTO DE JERICOACOARA)</t>
  </si>
  <si>
    <t>POINT (-40.864533 -3.214100)</t>
  </si>
  <si>
    <t>P 55</t>
  </si>
  <si>
    <t>123ECE0130S0</t>
  </si>
  <si>
    <t>ENTR. CE-371(A) p/ ITAIÇABA</t>
  </si>
  <si>
    <t>POINT (-37.779633 -5.050883)</t>
  </si>
  <si>
    <t>P 56</t>
  </si>
  <si>
    <t>138ECE0020S0</t>
  </si>
  <si>
    <t>ENTR. CE-454</t>
  </si>
  <si>
    <t>ENTR. CE-253(A) (CASCAVEL)</t>
  </si>
  <si>
    <t>POINT (-39.270350 -5.190850)</t>
  </si>
  <si>
    <t>P 57</t>
  </si>
  <si>
    <t>138ECE0210S0</t>
  </si>
  <si>
    <t>ENTR. BR-116</t>
  </si>
  <si>
    <t>ALTO SANTO</t>
  </si>
  <si>
    <t>POINT (-39.517183 -5.528150)</t>
  </si>
  <si>
    <t>P 62</t>
  </si>
  <si>
    <t>CE-153</t>
  </si>
  <si>
    <t>153ECE0050S0</t>
  </si>
  <si>
    <t>CE-266(B)</t>
  </si>
  <si>
    <t>CE-368(B)</t>
  </si>
  <si>
    <t>POINT (-39.309150 -6.791733)</t>
  </si>
  <si>
    <t>P 63</t>
  </si>
  <si>
    <t>153ECE0130S0</t>
  </si>
  <si>
    <t>ENTR. CE-275(B) p/ FEITICEIRO</t>
  </si>
  <si>
    <t>ENTR. CE-593 p/ SANTARÉM</t>
  </si>
  <si>
    <t>POINT (-38.475867 -4.338267)</t>
  </si>
  <si>
    <t>P 67</t>
  </si>
  <si>
    <t>CE-156</t>
  </si>
  <si>
    <t>156ECE0070S0</t>
  </si>
  <si>
    <t>ENTR. CE-085 (ACENDE CANDEIA)</t>
  </si>
  <si>
    <t>ENTR. BR-222(A) (CATUANA)</t>
  </si>
  <si>
    <t>POINT (-39.294450 -7.582300)</t>
  </si>
  <si>
    <t>P 68</t>
  </si>
  <si>
    <t>CE-162</t>
  </si>
  <si>
    <t>162ECE0190S0</t>
  </si>
  <si>
    <t>POINT (-38.935717 -4.288050)</t>
  </si>
  <si>
    <t>P 69</t>
  </si>
  <si>
    <t>CE-163</t>
  </si>
  <si>
    <t>163ECE0090S0</t>
  </si>
  <si>
    <t>TRAIRI</t>
  </si>
  <si>
    <t>ENTR. CE-085(A) p/ BARRENTO</t>
  </si>
  <si>
    <t>POINT (-39.299633 -3.372367)</t>
  </si>
  <si>
    <t>P 71</t>
  </si>
  <si>
    <t>166ECE0150S0</t>
  </si>
  <si>
    <t>ENTR. CE-275 (PIQUET CARNEIRO)</t>
  </si>
  <si>
    <t>ENTR. CE-060(A) (ZORRA)</t>
  </si>
  <si>
    <t>POINT (-40.223400 -2.893967)</t>
  </si>
  <si>
    <t>P 73</t>
  </si>
  <si>
    <t>085ECE0290S0</t>
  </si>
  <si>
    <t>ENTR. CE-168 (BARRENTO)</t>
  </si>
  <si>
    <t>ENTR. CE-176 (ARACATIARA)</t>
  </si>
  <si>
    <t>POINT (-37.839233 -4.707133)</t>
  </si>
  <si>
    <t>P 74</t>
  </si>
  <si>
    <t>168ECE0430S0</t>
  </si>
  <si>
    <t>ENTR. CE-266(B) (BOA VIAGEM)</t>
  </si>
  <si>
    <t>ENTR. BR-226 (PEDRA BRANCA)</t>
  </si>
  <si>
    <t>POINT (-38.206033 -4.046033)</t>
  </si>
  <si>
    <t>P 77</t>
  </si>
  <si>
    <t>240ECE0012S0</t>
  </si>
  <si>
    <t>ENTR. BR-402 (B)/CE-354 (B)</t>
  </si>
  <si>
    <t>POINT (-38.288650 -5.579617)</t>
  </si>
  <si>
    <t>P 78</t>
  </si>
  <si>
    <t>176ECE0070S0</t>
  </si>
  <si>
    <t>ENTR. BR-402(B)/CE-354(B)</t>
  </si>
  <si>
    <t>ENTR. CE-240/CE-557 p/ MIRAÍMA</t>
  </si>
  <si>
    <t>POINT (-38.752067 -6.807300)</t>
  </si>
  <si>
    <t>P 79</t>
  </si>
  <si>
    <t>226BCE0650S0</t>
  </si>
  <si>
    <t>ENTR BR-020 (SANTA CRUZ DO BANABUIÚ)</t>
  </si>
  <si>
    <t>ENTR CE-176 (INDEPENDÊNCIA)</t>
  </si>
  <si>
    <t>POINT (-38.774533 -7.394483)</t>
  </si>
  <si>
    <t>P 83</t>
  </si>
  <si>
    <t>085ECE0320S0</t>
  </si>
  <si>
    <t>ENTR. CE-177(A)</t>
  </si>
  <si>
    <t>ENTR. CE-177 (B) p/ ITAREMA</t>
  </si>
  <si>
    <t>POINT (-38.911767 -5.388983)</t>
  </si>
  <si>
    <t>P 84</t>
  </si>
  <si>
    <t>178ECE0010S0</t>
  </si>
  <si>
    <t>ENTR. ACESSO BR-403/CE-085</t>
  </si>
  <si>
    <t>ENTR. BR-402(A)/CE-216 (BOM JESUS)</t>
  </si>
  <si>
    <t>POINT (-38.884350 -5.980800)</t>
  </si>
  <si>
    <t>P 85</t>
  </si>
  <si>
    <t>240ECE0020S0</t>
  </si>
  <si>
    <t>ENTR. CE-178(A)</t>
  </si>
  <si>
    <t>POINT (-38.950333 -6.397250)</t>
  </si>
  <si>
    <t>P 87</t>
  </si>
  <si>
    <t>179ECE0230S0</t>
  </si>
  <si>
    <t>ENTR. BR-222/CE-362(B)</t>
  </si>
  <si>
    <t>ENTR. CE-253(A)</t>
  </si>
  <si>
    <t>POINT (-39.059683 -6.632583)</t>
  </si>
  <si>
    <t>P 88</t>
  </si>
  <si>
    <t>183ECE0050S0</t>
  </si>
  <si>
    <t>ENTR. CE-329 p/ AMANAIARA</t>
  </si>
  <si>
    <t>POINT (-39.093500 -6.767817)</t>
  </si>
  <si>
    <t>P 90</t>
  </si>
  <si>
    <t>187ECE0310S0</t>
  </si>
  <si>
    <t>ENTR. CE-323 (B) (INHUÇU)</t>
  </si>
  <si>
    <t>ENTR. CE-425 (CONTORNO DE GUARACIABA DO NORTE)"</t>
  </si>
  <si>
    <t>POINT (-38.898967 -3.599400)</t>
  </si>
  <si>
    <t>P 93</t>
  </si>
  <si>
    <t>189ECE0010S0</t>
  </si>
  <si>
    <t>ENTR. CE-257 (IPUEIRAS)</t>
  </si>
  <si>
    <t>LIVRAMENTO</t>
  </si>
  <si>
    <t>POINT (-39.226600 -4.111217)</t>
  </si>
  <si>
    <t>P 94</t>
  </si>
  <si>
    <t>189ECE0070S0</t>
  </si>
  <si>
    <t>ENTR. BR-404(A) (IPAPORANGA)</t>
  </si>
  <si>
    <t>ENTR. BR-404(B)/403/CE-187</t>
  </si>
  <si>
    <t>POINT (-39.293933 -3.370783)</t>
  </si>
  <si>
    <t>P 95</t>
  </si>
  <si>
    <t>CE-192</t>
  </si>
  <si>
    <t>192ECE0070N0</t>
  </si>
  <si>
    <t>MONTE CARMELO</t>
  </si>
  <si>
    <t>ENTR. CE-323(A) / 427</t>
  </si>
  <si>
    <t>POINT (-39.426600 -5.810167)</t>
  </si>
  <si>
    <t>P 96</t>
  </si>
  <si>
    <t>CE-232</t>
  </si>
  <si>
    <t>232ECE0050S0</t>
  </si>
  <si>
    <t>ENTR. CE-179(B) (IPAGUAÇU)</t>
  </si>
  <si>
    <t>ENTR. CE-240(A)/362(A) (MASSAPÊ)</t>
  </si>
  <si>
    <t>POINT (-39.585167 -6.402633)</t>
  </si>
  <si>
    <t>P 97</t>
  </si>
  <si>
    <t>232ECE0090S0</t>
  </si>
  <si>
    <t>ENTR. CE-240(B)</t>
  </si>
  <si>
    <t>ENTR. CE-584</t>
  </si>
  <si>
    <t>POINT (-39.515383 -3.304783)</t>
  </si>
  <si>
    <t>P 99</t>
  </si>
  <si>
    <t>240ECE0170S0</t>
  </si>
  <si>
    <t>ENTR. CE-364/444 (COREAÚ)</t>
  </si>
  <si>
    <t>ARAQUÉM</t>
  </si>
  <si>
    <t>STATUS DE EXECUÇÃO</t>
  </si>
  <si>
    <t>CONCLUÍDO</t>
  </si>
  <si>
    <t>COORDENADAS</t>
  </si>
  <si>
    <t>PERÍODO DA
CONTAGEM</t>
  </si>
  <si>
    <t>CLASSES</t>
  </si>
  <si>
    <t>TOTAL</t>
  </si>
  <si>
    <t>VEÍCULOS LEVES</t>
  </si>
  <si>
    <t>ÔNIBUS/CAMINHÃO</t>
  </si>
  <si>
    <t>CAMINHÃO</t>
  </si>
  <si>
    <t>MOTO</t>
  </si>
  <si>
    <t>PASS</t>
  </si>
  <si>
    <t>UTIL</t>
  </si>
  <si>
    <t>2C/2CB</t>
  </si>
  <si>
    <t>3C/3CB</t>
  </si>
  <si>
    <t>2S1</t>
  </si>
  <si>
    <t>2S2</t>
  </si>
  <si>
    <t>2S3</t>
  </si>
  <si>
    <t>3S1</t>
  </si>
  <si>
    <t>3S2</t>
  </si>
  <si>
    <t>3S3</t>
  </si>
  <si>
    <t>4C</t>
  </si>
  <si>
    <t>4CD</t>
  </si>
  <si>
    <t>2C2</t>
  </si>
  <si>
    <t>2C3</t>
  </si>
  <si>
    <t>3C2</t>
  </si>
  <si>
    <t>3C3</t>
  </si>
  <si>
    <t>2I3</t>
  </si>
  <si>
    <t>3I3</t>
  </si>
  <si>
    <t>BIT</t>
  </si>
  <si>
    <t>ROD/TRIT</t>
  </si>
  <si>
    <t>040ECE0220E0</t>
  </si>
  <si>
    <t>BR-122</t>
  </si>
  <si>
    <t>122BCE0070S0</t>
  </si>
  <si>
    <t>456ECE0050S0</t>
  </si>
  <si>
    <t>166ECE0110S0</t>
  </si>
  <si>
    <t>ENTR. BR-226(B)</t>
  </si>
  <si>
    <t>ENGº. JOSÉ LOPES</t>
  </si>
  <si>
    <t xml:space="preserve"> -5,528114°</t>
  </si>
  <si>
    <t xml:space="preserve"> -39,517208°</t>
  </si>
  <si>
    <t xml:space="preserve"> -5,811800°</t>
  </si>
  <si>
    <t xml:space="preserve"> -39,429194°</t>
  </si>
  <si>
    <t xml:space="preserve"> -5,678148°</t>
  </si>
  <si>
    <t xml:space="preserve"> -39,430067°</t>
  </si>
  <si>
    <t xml:space="preserve"> -5,735844°</t>
  </si>
  <si>
    <t xml:space="preserve"> -39,026054°</t>
  </si>
  <si>
    <t xml:space="preserve"> -5,684576°</t>
  </si>
  <si>
    <t xml:space="preserve"> -39,195397°</t>
  </si>
  <si>
    <t>226BCE0550S1</t>
  </si>
  <si>
    <t>ENTR. CE-371(B)/473(B)</t>
  </si>
  <si>
    <t>166ECE0015S0</t>
  </si>
  <si>
    <t>ENTR. CE-060(A)/266(A)/473 (QUIXERAMOBIM)</t>
  </si>
  <si>
    <t xml:space="preserve"> -5,210260°</t>
  </si>
  <si>
    <t xml:space="preserve"> -39,316634°</t>
  </si>
  <si>
    <t xml:space="preserve"> -5,211660°</t>
  </si>
  <si>
    <t xml:space="preserve"> -39,312789°</t>
  </si>
  <si>
    <t xml:space="preserve"> -5,187695°</t>
  </si>
  <si>
    <t xml:space="preserve"> -39,270508°</t>
  </si>
  <si>
    <t xml:space="preserve"> -4,761105°</t>
  </si>
  <si>
    <t xml:space="preserve"> -39,487011°</t>
  </si>
  <si>
    <t xml:space="preserve"> -5,175606°</t>
  </si>
  <si>
    <t xml:space="preserve"> -39,305516°</t>
  </si>
  <si>
    <t xml:space="preserve"> -3.485902°</t>
  </si>
  <si>
    <t xml:space="preserve"> -39.523645°</t>
  </si>
  <si>
    <t xml:space="preserve"> -3.476320°</t>
  </si>
  <si>
    <t xml:space="preserve"> -39.631296°</t>
  </si>
  <si>
    <t xml:space="preserve"> -3.512756° </t>
  </si>
  <si>
    <t xml:space="preserve"> -39.583771°</t>
  </si>
  <si>
    <t xml:space="preserve"> -3.444842°</t>
  </si>
  <si>
    <t xml:space="preserve"> -39.394502°</t>
  </si>
  <si>
    <t xml:space="preserve"> -3.656675°</t>
  </si>
  <si>
    <t xml:space="preserve"> -39.424249°</t>
  </si>
  <si>
    <t xml:space="preserve"> -3,510525°</t>
  </si>
  <si>
    <t xml:space="preserve"> -40,357357°</t>
  </si>
  <si>
    <t xml:space="preserve"> -3,521487°</t>
  </si>
  <si>
    <t xml:space="preserve"> -40,330057°</t>
  </si>
  <si>
    <t xml:space="preserve"> -3,519408°</t>
  </si>
  <si>
    <t xml:space="preserve"> -40,361951°</t>
  </si>
  <si>
    <t xml:space="preserve"> -3,552886°</t>
  </si>
  <si>
    <t xml:space="preserve"> -40,663702°</t>
  </si>
  <si>
    <t xml:space="preserve"> -3,568871°</t>
  </si>
  <si>
    <t xml:space="preserve"> -40,636720°</t>
  </si>
  <si>
    <t>232ECE0210S0</t>
  </si>
  <si>
    <t>ENTR. CE-187/311 (VIÇOSA DO CEARÁ)</t>
  </si>
  <si>
    <t>ENTR. CE-515</t>
  </si>
  <si>
    <t>348ECE0170S0</t>
  </si>
  <si>
    <t>321ECE0050S0</t>
  </si>
  <si>
    <t>GRAÇA</t>
  </si>
  <si>
    <t>362ECE0230S0</t>
  </si>
  <si>
    <t>ENTR. CE-463 p/ LISIEUX</t>
  </si>
  <si>
    <t>ENTR. CE-176(A) (OLHO D´ÁGUA DO PAJÉ)</t>
  </si>
  <si>
    <t>ENTR. BR-403/CE-183</t>
  </si>
  <si>
    <t>329ECE0010S0</t>
  </si>
  <si>
    <t>EM ANDAMENTO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</si>
</sst>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0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rial"/>
      <family val="2"/>
    </font>
    <font>
      <b/>
      <sz val="14"/>
      <color theme="1"/>
      <name val="Aptos Narrow"/>
      <family val="2"/>
      <scheme val="minor"/>
    </font>
    <font>
      <sz val="12"/>
      <color theme="1"/>
      <name val="Arial"/>
      <family val="2"/>
    </font>
    <font>
      <sz val="14"/>
      <color theme="1"/>
      <name val="Aptos Narrow"/>
      <family val="2"/>
      <scheme val="minor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4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0" fillId="0" borderId="0" xfId="0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 textRotation="90" wrapText="1"/>
    </xf>
    <xf numFmtId="164" fontId="0" fillId="0" borderId="0" xfId="0" applyNumberFormat="1"/>
    <xf numFmtId="165" fontId="5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wrapText="1"/>
    </xf>
    <xf numFmtId="165" fontId="5" fillId="0" borderId="1" xfId="0" applyNumberFormat="1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textRotation="90" wrapText="1"/>
    </xf>
    <xf numFmtId="164" fontId="3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33618</xdr:colOff>
      <xdr:row>3</xdr:row>
      <xdr:rowOff>33618</xdr:rowOff>
    </xdr:from>
    <xdr:to>
      <xdr:col>7</xdr:col>
      <xdr:colOff>566418</xdr:colOff>
      <xdr:row>3</xdr:row>
      <xdr:rowOff>1244428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CEC7E1D-9A7D-4F8E-900D-CA7016333202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7238413" y="944123"/>
          <a:ext cx="1210810" cy="532800"/>
        </a:xfrm>
        <a:prstGeom prst="rect">
          <a:avLst/>
        </a:prstGeom>
      </xdr:spPr>
    </xdr:pic>
    <xdr:clientData/>
  </xdr:twoCellAnchor>
  <xdr:twoCellAnchor>
    <xdr:from>
      <xdr:col>8</xdr:col>
      <xdr:colOff>33618</xdr:colOff>
      <xdr:row>3</xdr:row>
      <xdr:rowOff>33618</xdr:rowOff>
    </xdr:from>
    <xdr:to>
      <xdr:col>8</xdr:col>
      <xdr:colOff>566418</xdr:colOff>
      <xdr:row>3</xdr:row>
      <xdr:rowOff>1244428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2A4CA40-7B10-4595-9716-78860F20B68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7867063" y="944123"/>
          <a:ext cx="1210810" cy="532800"/>
        </a:xfrm>
        <a:prstGeom prst="rect">
          <a:avLst/>
        </a:prstGeom>
      </xdr:spPr>
    </xdr:pic>
    <xdr:clientData/>
  </xdr:twoCellAnchor>
  <xdr:twoCellAnchor>
    <xdr:from>
      <xdr:col>9</xdr:col>
      <xdr:colOff>33618</xdr:colOff>
      <xdr:row>3</xdr:row>
      <xdr:rowOff>33618</xdr:rowOff>
    </xdr:from>
    <xdr:to>
      <xdr:col>9</xdr:col>
      <xdr:colOff>566418</xdr:colOff>
      <xdr:row>3</xdr:row>
      <xdr:rowOff>1244428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5D770157-FC99-4BD2-A6C0-2E18E52D423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8495713" y="944123"/>
          <a:ext cx="1210810" cy="532800"/>
        </a:xfrm>
        <a:prstGeom prst="rect">
          <a:avLst/>
        </a:prstGeom>
      </xdr:spPr>
    </xdr:pic>
    <xdr:clientData/>
  </xdr:twoCellAnchor>
  <xdr:twoCellAnchor>
    <xdr:from>
      <xdr:col>10</xdr:col>
      <xdr:colOff>746454</xdr:colOff>
      <xdr:row>3</xdr:row>
      <xdr:rowOff>25334</xdr:rowOff>
    </xdr:from>
    <xdr:to>
      <xdr:col>10</xdr:col>
      <xdr:colOff>1279254</xdr:colOff>
      <xdr:row>3</xdr:row>
      <xdr:rowOff>1236144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1F38B010-89AA-4EDB-AB9A-B8D1173E642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5400000">
          <a:off x="9837199" y="935839"/>
          <a:ext cx="1210810" cy="532800"/>
        </a:xfrm>
        <a:prstGeom prst="rect">
          <a:avLst/>
        </a:prstGeom>
      </xdr:spPr>
    </xdr:pic>
    <xdr:clientData/>
  </xdr:twoCellAnchor>
  <xdr:twoCellAnchor>
    <xdr:from>
      <xdr:col>11</xdr:col>
      <xdr:colOff>663097</xdr:colOff>
      <xdr:row>3</xdr:row>
      <xdr:rowOff>41902</xdr:rowOff>
    </xdr:from>
    <xdr:to>
      <xdr:col>11</xdr:col>
      <xdr:colOff>1195896</xdr:colOff>
      <xdr:row>3</xdr:row>
      <xdr:rowOff>1252714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1C75D090-B073-4998-9C51-5E7B1047866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5400000">
          <a:off x="11077816" y="952408"/>
          <a:ext cx="1210812" cy="532799"/>
        </a:xfrm>
        <a:prstGeom prst="rect">
          <a:avLst/>
        </a:prstGeom>
      </xdr:spPr>
    </xdr:pic>
    <xdr:clientData/>
  </xdr:twoCellAnchor>
  <xdr:twoCellAnchor>
    <xdr:from>
      <xdr:col>10</xdr:col>
      <xdr:colOff>41901</xdr:colOff>
      <xdr:row>3</xdr:row>
      <xdr:rowOff>41901</xdr:rowOff>
    </xdr:from>
    <xdr:to>
      <xdr:col>10</xdr:col>
      <xdr:colOff>574701</xdr:colOff>
      <xdr:row>3</xdr:row>
      <xdr:rowOff>1252711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866F127-5E58-4FD7-B001-95E770073F7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5400000">
          <a:off x="9132646" y="952406"/>
          <a:ext cx="1210810" cy="532800"/>
        </a:xfrm>
        <a:prstGeom prst="rect">
          <a:avLst/>
        </a:prstGeom>
      </xdr:spPr>
    </xdr:pic>
    <xdr:clientData/>
  </xdr:twoCellAnchor>
  <xdr:twoCellAnchor>
    <xdr:from>
      <xdr:col>11</xdr:col>
      <xdr:colOff>50183</xdr:colOff>
      <xdr:row>3</xdr:row>
      <xdr:rowOff>33618</xdr:rowOff>
    </xdr:from>
    <xdr:to>
      <xdr:col>11</xdr:col>
      <xdr:colOff>582983</xdr:colOff>
      <xdr:row>3</xdr:row>
      <xdr:rowOff>1244428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4DC39762-20D6-47C1-92B7-958BA780840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5400000">
          <a:off x="10464903" y="944123"/>
          <a:ext cx="1210810" cy="532800"/>
        </a:xfrm>
        <a:prstGeom prst="rect">
          <a:avLst/>
        </a:prstGeom>
      </xdr:spPr>
    </xdr:pic>
    <xdr:clientData/>
  </xdr:twoCellAnchor>
  <xdr:twoCellAnchor editAs="oneCell">
    <xdr:from>
      <xdr:col>15</xdr:col>
      <xdr:colOff>26874</xdr:colOff>
      <xdr:row>3</xdr:row>
      <xdr:rowOff>97364</xdr:rowOff>
    </xdr:from>
    <xdr:to>
      <xdr:col>16</xdr:col>
      <xdr:colOff>43</xdr:colOff>
      <xdr:row>3</xdr:row>
      <xdr:rowOff>1274814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2124FF97-C025-4B2A-AA31-D89B6EFD9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5400000">
          <a:off x="13683659" y="956679"/>
          <a:ext cx="1177450" cy="601819"/>
        </a:xfrm>
        <a:prstGeom prst="rect">
          <a:avLst/>
        </a:prstGeom>
      </xdr:spPr>
    </xdr:pic>
    <xdr:clientData/>
  </xdr:twoCellAnchor>
  <xdr:twoCellAnchor editAs="oneCell">
    <xdr:from>
      <xdr:col>13</xdr:col>
      <xdr:colOff>24392</xdr:colOff>
      <xdr:row>3</xdr:row>
      <xdr:rowOff>116410</xdr:rowOff>
    </xdr:from>
    <xdr:to>
      <xdr:col>13</xdr:col>
      <xdr:colOff>590551</xdr:colOff>
      <xdr:row>3</xdr:row>
      <xdr:rowOff>1259095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F8765292-0DB4-4EAC-8188-0604F3B263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5400000">
          <a:off x="12423429" y="976173"/>
          <a:ext cx="1142685" cy="566159"/>
        </a:xfrm>
        <a:prstGeom prst="rect">
          <a:avLst/>
        </a:prstGeom>
      </xdr:spPr>
    </xdr:pic>
    <xdr:clientData/>
  </xdr:twoCellAnchor>
  <xdr:twoCellAnchor editAs="oneCell">
    <xdr:from>
      <xdr:col>19</xdr:col>
      <xdr:colOff>32676</xdr:colOff>
      <xdr:row>3</xdr:row>
      <xdr:rowOff>108131</xdr:rowOff>
    </xdr:from>
    <xdr:to>
      <xdr:col>19</xdr:col>
      <xdr:colOff>619083</xdr:colOff>
      <xdr:row>3</xdr:row>
      <xdr:rowOff>1274444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F629C850-58E3-467E-93CB-D34B79AB62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5400000">
          <a:off x="16201923" y="969584"/>
          <a:ext cx="1166313" cy="586407"/>
        </a:xfrm>
        <a:prstGeom prst="rect">
          <a:avLst/>
        </a:prstGeom>
      </xdr:spPr>
    </xdr:pic>
    <xdr:clientData/>
  </xdr:twoCellAnchor>
  <xdr:twoCellAnchor editAs="oneCell">
    <xdr:from>
      <xdr:col>18</xdr:col>
      <xdr:colOff>27914</xdr:colOff>
      <xdr:row>3</xdr:row>
      <xdr:rowOff>137739</xdr:rowOff>
    </xdr:from>
    <xdr:to>
      <xdr:col>18</xdr:col>
      <xdr:colOff>612912</xdr:colOff>
      <xdr:row>3</xdr:row>
      <xdr:rowOff>1299742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A303F892-6946-4042-80E5-87FF0E191B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5400000">
          <a:off x="15569961" y="997742"/>
          <a:ext cx="1162003" cy="584998"/>
        </a:xfrm>
        <a:prstGeom prst="rect">
          <a:avLst/>
        </a:prstGeom>
      </xdr:spPr>
    </xdr:pic>
    <xdr:clientData/>
  </xdr:twoCellAnchor>
  <xdr:twoCellAnchor editAs="oneCell">
    <xdr:from>
      <xdr:col>12</xdr:col>
      <xdr:colOff>36198</xdr:colOff>
      <xdr:row>3</xdr:row>
      <xdr:rowOff>79761</xdr:rowOff>
    </xdr:from>
    <xdr:to>
      <xdr:col>12</xdr:col>
      <xdr:colOff>654326</xdr:colOff>
      <xdr:row>3</xdr:row>
      <xdr:rowOff>1261300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0DCEF6AC-D4F6-4267-AC11-2D39FA8013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5400000">
          <a:off x="11765517" y="932967"/>
          <a:ext cx="1181539" cy="618128"/>
        </a:xfrm>
        <a:prstGeom prst="rect">
          <a:avLst/>
        </a:prstGeom>
      </xdr:spPr>
    </xdr:pic>
    <xdr:clientData/>
  </xdr:twoCellAnchor>
  <xdr:twoCellAnchor editAs="oneCell">
    <xdr:from>
      <xdr:col>14</xdr:col>
      <xdr:colOff>32880</xdr:colOff>
      <xdr:row>3</xdr:row>
      <xdr:rowOff>83079</xdr:rowOff>
    </xdr:from>
    <xdr:to>
      <xdr:col>14</xdr:col>
      <xdr:colOff>619985</xdr:colOff>
      <xdr:row>3</xdr:row>
      <xdr:rowOff>1266353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42DE6A8D-1A4E-4C80-B8B0-D8B23B83DA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5400000">
          <a:off x="13050746" y="952663"/>
          <a:ext cx="1183274" cy="587105"/>
        </a:xfrm>
        <a:prstGeom prst="rect">
          <a:avLst/>
        </a:prstGeom>
      </xdr:spPr>
    </xdr:pic>
    <xdr:clientData/>
  </xdr:twoCellAnchor>
  <xdr:twoCellAnchor editAs="oneCell">
    <xdr:from>
      <xdr:col>16</xdr:col>
      <xdr:colOff>29561</xdr:colOff>
      <xdr:row>3</xdr:row>
      <xdr:rowOff>28417</xdr:rowOff>
    </xdr:from>
    <xdr:to>
      <xdr:col>16</xdr:col>
      <xdr:colOff>597880</xdr:colOff>
      <xdr:row>3</xdr:row>
      <xdr:rowOff>1254218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76B8B2B8-330B-4630-BE58-5FB1CEBD0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5400000">
          <a:off x="14274070" y="928658"/>
          <a:ext cx="1225801" cy="568319"/>
        </a:xfrm>
        <a:prstGeom prst="rect">
          <a:avLst/>
        </a:prstGeom>
      </xdr:spPr>
    </xdr:pic>
    <xdr:clientData/>
  </xdr:twoCellAnchor>
  <xdr:twoCellAnchor editAs="oneCell">
    <xdr:from>
      <xdr:col>21</xdr:col>
      <xdr:colOff>44886</xdr:colOff>
      <xdr:row>3</xdr:row>
      <xdr:rowOff>71071</xdr:rowOff>
    </xdr:from>
    <xdr:to>
      <xdr:col>21</xdr:col>
      <xdr:colOff>602048</xdr:colOff>
      <xdr:row>3</xdr:row>
      <xdr:rowOff>1276110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10860D5F-071E-4CCE-BDB6-3062B12FEE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 rot="5400000">
          <a:off x="17437447" y="966510"/>
          <a:ext cx="1205039" cy="557162"/>
        </a:xfrm>
        <a:prstGeom prst="rect">
          <a:avLst/>
        </a:prstGeom>
      </xdr:spPr>
    </xdr:pic>
    <xdr:clientData/>
  </xdr:twoCellAnchor>
  <xdr:twoCellAnchor editAs="oneCell">
    <xdr:from>
      <xdr:col>22</xdr:col>
      <xdr:colOff>33080</xdr:colOff>
      <xdr:row>3</xdr:row>
      <xdr:rowOff>91158</xdr:rowOff>
    </xdr:from>
    <xdr:to>
      <xdr:col>22</xdr:col>
      <xdr:colOff>576669</xdr:colOff>
      <xdr:row>3</xdr:row>
      <xdr:rowOff>1291389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60E5AAEB-E919-4512-9060-4B31549331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 rot="5400000">
          <a:off x="18049909" y="990979"/>
          <a:ext cx="1200231" cy="543589"/>
        </a:xfrm>
        <a:prstGeom prst="rect">
          <a:avLst/>
        </a:prstGeom>
      </xdr:spPr>
    </xdr:pic>
    <xdr:clientData/>
  </xdr:twoCellAnchor>
  <xdr:twoCellAnchor editAs="oneCell">
    <xdr:from>
      <xdr:col>25</xdr:col>
      <xdr:colOff>38680</xdr:colOff>
      <xdr:row>3</xdr:row>
      <xdr:rowOff>160104</xdr:rowOff>
    </xdr:from>
    <xdr:to>
      <xdr:col>25</xdr:col>
      <xdr:colOff>564613</xdr:colOff>
      <xdr:row>3</xdr:row>
      <xdr:rowOff>1278236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E6404A2A-ADE9-4BF9-AB56-6B2E533DA1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5400000">
          <a:off x="19859381" y="1027703"/>
          <a:ext cx="1118132" cy="525933"/>
        </a:xfrm>
        <a:prstGeom prst="rect">
          <a:avLst/>
        </a:prstGeom>
      </xdr:spPr>
    </xdr:pic>
    <xdr:clientData/>
  </xdr:twoCellAnchor>
  <xdr:twoCellAnchor editAs="oneCell">
    <xdr:from>
      <xdr:col>23</xdr:col>
      <xdr:colOff>36806</xdr:colOff>
      <xdr:row>3</xdr:row>
      <xdr:rowOff>87433</xdr:rowOff>
    </xdr:from>
    <xdr:to>
      <xdr:col>23</xdr:col>
      <xdr:colOff>539153</xdr:colOff>
      <xdr:row>3</xdr:row>
      <xdr:rowOff>1285809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02314F9F-6CE3-4EF3-9E9F-3CF55F766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 rot="5400000">
          <a:off x="18662592" y="1006947"/>
          <a:ext cx="1198376" cy="502347"/>
        </a:xfrm>
        <a:prstGeom prst="rect">
          <a:avLst/>
        </a:prstGeom>
      </xdr:spPr>
    </xdr:pic>
    <xdr:clientData/>
  </xdr:twoCellAnchor>
  <xdr:twoCellAnchor editAs="oneCell">
    <xdr:from>
      <xdr:col>17</xdr:col>
      <xdr:colOff>70771</xdr:colOff>
      <xdr:row>3</xdr:row>
      <xdr:rowOff>103166</xdr:rowOff>
    </xdr:from>
    <xdr:to>
      <xdr:col>17</xdr:col>
      <xdr:colOff>594832</xdr:colOff>
      <xdr:row>3</xdr:row>
      <xdr:rowOff>1244499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16B26703-0E13-477B-AEB6-FD0ACF6DD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 rot="5400000">
          <a:off x="14964035" y="983302"/>
          <a:ext cx="1141333" cy="524061"/>
        </a:xfrm>
        <a:prstGeom prst="rect">
          <a:avLst/>
        </a:prstGeom>
      </xdr:spPr>
    </xdr:pic>
    <xdr:clientData/>
  </xdr:twoCellAnchor>
  <xdr:twoCellAnchor editAs="oneCell">
    <xdr:from>
      <xdr:col>27</xdr:col>
      <xdr:colOff>88781</xdr:colOff>
      <xdr:row>3</xdr:row>
      <xdr:rowOff>110003</xdr:rowOff>
    </xdr:from>
    <xdr:to>
      <xdr:col>27</xdr:col>
      <xdr:colOff>586115</xdr:colOff>
      <xdr:row>3</xdr:row>
      <xdr:rowOff>1285677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D1A49A22-5081-4EC4-9DC7-C2FE9CBED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 rot="5400000">
          <a:off x="21009411" y="1020673"/>
          <a:ext cx="1175674" cy="497334"/>
        </a:xfrm>
        <a:prstGeom prst="rect">
          <a:avLst/>
        </a:prstGeom>
      </xdr:spPr>
    </xdr:pic>
    <xdr:clientData/>
  </xdr:twoCellAnchor>
  <xdr:twoCellAnchor editAs="oneCell">
    <xdr:from>
      <xdr:col>26</xdr:col>
      <xdr:colOff>47572</xdr:colOff>
      <xdr:row>3</xdr:row>
      <xdr:rowOff>109802</xdr:rowOff>
    </xdr:from>
    <xdr:to>
      <xdr:col>26</xdr:col>
      <xdr:colOff>509552</xdr:colOff>
      <xdr:row>3</xdr:row>
      <xdr:rowOff>1285559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67141228-A894-44D2-9017-EC11BC6C64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 rot="5400000">
          <a:off x="20378983" y="1038191"/>
          <a:ext cx="1175757" cy="461980"/>
        </a:xfrm>
        <a:prstGeom prst="rect">
          <a:avLst/>
        </a:prstGeom>
      </xdr:spPr>
    </xdr:pic>
    <xdr:clientData/>
  </xdr:twoCellAnchor>
  <xdr:twoCellAnchor editAs="oneCell">
    <xdr:from>
      <xdr:col>20</xdr:col>
      <xdr:colOff>67233</xdr:colOff>
      <xdr:row>3</xdr:row>
      <xdr:rowOff>89647</xdr:rowOff>
    </xdr:from>
    <xdr:to>
      <xdr:col>20</xdr:col>
      <xdr:colOff>513764</xdr:colOff>
      <xdr:row>3</xdr:row>
      <xdr:rowOff>1276350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5314787C-CF76-462E-A1B6-3AA339DAE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 rot="5400000">
          <a:off x="16784997" y="1031233"/>
          <a:ext cx="1186703" cy="446531"/>
        </a:xfrm>
        <a:prstGeom prst="rect">
          <a:avLst/>
        </a:prstGeom>
      </xdr:spPr>
    </xdr:pic>
    <xdr:clientData/>
  </xdr:twoCellAnchor>
  <xdr:twoCellAnchor editAs="oneCell">
    <xdr:from>
      <xdr:col>24</xdr:col>
      <xdr:colOff>44821</xdr:colOff>
      <xdr:row>3</xdr:row>
      <xdr:rowOff>112061</xdr:rowOff>
    </xdr:from>
    <xdr:to>
      <xdr:col>24</xdr:col>
      <xdr:colOff>529238</xdr:colOff>
      <xdr:row>3</xdr:row>
      <xdr:rowOff>1293079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18918F59-B37B-40FD-B853-86102308DB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 rot="5400000">
          <a:off x="19241821" y="1031861"/>
          <a:ext cx="1181018" cy="4844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12617-6B17-4A0E-9E79-EBA6E19B3138}">
  <sheetPr filterMode="1">
    <pageSetUpPr fitToPage="1"/>
  </sheetPr>
  <dimension ref="A1:K150"/>
  <sheetViews>
    <sheetView view="pageBreakPreview" topLeftCell="B1" zoomScaleNormal="100" zoomScaleSheetLayoutView="100" workbookViewId="0">
      <pane ySplit="1" topLeftCell="A12" activePane="bottomLeft" state="frozen"/>
      <selection activeCell="B1" sqref="B1"/>
      <selection pane="bottomLeft" activeCell="J129" sqref="J129"/>
    </sheetView>
  </sheetViews>
  <sheetFormatPr defaultRowHeight="15" x14ac:dyDescent="0.25"/>
  <cols>
    <col min="1" max="1" width="27" style="1" hidden="1" customWidth="1"/>
    <col min="2" max="2" width="5.5703125" style="1" bestFit="1" customWidth="1"/>
    <col min="3" max="3" width="16.85546875" style="1" bestFit="1" customWidth="1"/>
    <col min="4" max="4" width="16.42578125" style="1" bestFit="1" customWidth="1"/>
    <col min="5" max="5" width="9.42578125" style="1" bestFit="1" customWidth="1"/>
    <col min="6" max="6" width="16" style="1" bestFit="1" customWidth="1"/>
    <col min="7" max="7" width="46.42578125" style="1" bestFit="1" customWidth="1"/>
    <col min="8" max="8" width="49.85546875" style="1" bestFit="1" customWidth="1"/>
    <col min="9" max="9" width="13.28515625" style="1" customWidth="1"/>
    <col min="10" max="10" width="26.28515625" style="1" bestFit="1" customWidth="1"/>
    <col min="11" max="11" width="20.28515625" style="1" bestFit="1" customWidth="1"/>
    <col min="12" max="16384" width="9.140625" style="1"/>
  </cols>
  <sheetData>
    <row r="1" spans="1:11" ht="14.2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790</v>
      </c>
      <c r="K1" s="3" t="s">
        <v>9</v>
      </c>
    </row>
    <row r="2" spans="1:11" hidden="1" x14ac:dyDescent="0.25">
      <c r="A2" s="1" t="s">
        <v>10</v>
      </c>
      <c r="B2" s="4" t="s">
        <v>11</v>
      </c>
      <c r="C2" s="5">
        <v>-4.7521800000000001</v>
      </c>
      <c r="D2" s="5">
        <v>-40.837868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16</v>
      </c>
      <c r="J2" s="6" t="s">
        <v>791</v>
      </c>
      <c r="K2" s="6" t="s">
        <v>18</v>
      </c>
    </row>
    <row r="3" spans="1:11" hidden="1" x14ac:dyDescent="0.25">
      <c r="A3" s="1" t="s">
        <v>19</v>
      </c>
      <c r="B3" s="4" t="s">
        <v>20</v>
      </c>
      <c r="C3" s="5">
        <v>-4.7480820000000001</v>
      </c>
      <c r="D3" s="5">
        <v>-40.788862999999999</v>
      </c>
      <c r="E3" s="4" t="s">
        <v>12</v>
      </c>
      <c r="F3" s="4" t="s">
        <v>21</v>
      </c>
      <c r="G3" s="4" t="s">
        <v>22</v>
      </c>
      <c r="H3" s="4" t="s">
        <v>14</v>
      </c>
      <c r="I3" s="4" t="s">
        <v>16</v>
      </c>
      <c r="J3" s="6" t="s">
        <v>791</v>
      </c>
      <c r="K3" s="6" t="s">
        <v>18</v>
      </c>
    </row>
    <row r="4" spans="1:11" hidden="1" x14ac:dyDescent="0.25">
      <c r="A4" s="1" t="s">
        <v>23</v>
      </c>
      <c r="B4" s="4" t="s">
        <v>24</v>
      </c>
      <c r="C4" s="5">
        <v>-4.8189970000000004</v>
      </c>
      <c r="D4" s="5">
        <v>-37.872013000000003</v>
      </c>
      <c r="E4" s="4" t="s">
        <v>25</v>
      </c>
      <c r="F4" s="4" t="s">
        <v>26</v>
      </c>
      <c r="G4" s="4" t="s">
        <v>27</v>
      </c>
      <c r="H4" s="4" t="s">
        <v>28</v>
      </c>
      <c r="I4" s="4" t="s">
        <v>16</v>
      </c>
      <c r="J4" s="6" t="s">
        <v>791</v>
      </c>
      <c r="K4" s="6" t="s">
        <v>18</v>
      </c>
    </row>
    <row r="5" spans="1:11" hidden="1" x14ac:dyDescent="0.25">
      <c r="A5" s="1" t="s">
        <v>29</v>
      </c>
      <c r="B5" s="4" t="s">
        <v>30</v>
      </c>
      <c r="C5" s="5">
        <v>-4.9643360000000003</v>
      </c>
      <c r="D5" s="5">
        <v>-38.996361</v>
      </c>
      <c r="E5" s="4" t="s">
        <v>12</v>
      </c>
      <c r="F5" s="4" t="s">
        <v>31</v>
      </c>
      <c r="G5" s="4" t="s">
        <v>32</v>
      </c>
      <c r="H5" s="4" t="s">
        <v>33</v>
      </c>
      <c r="I5" s="4" t="s">
        <v>16</v>
      </c>
      <c r="J5" s="6" t="s">
        <v>791</v>
      </c>
      <c r="K5" s="6" t="s">
        <v>18</v>
      </c>
    </row>
    <row r="6" spans="1:11" hidden="1" x14ac:dyDescent="0.25">
      <c r="A6" s="1" t="s">
        <v>34</v>
      </c>
      <c r="B6" s="4" t="s">
        <v>35</v>
      </c>
      <c r="C6" s="5">
        <v>-4.1047820000000002</v>
      </c>
      <c r="D6" s="5">
        <v>-38.789633000000002</v>
      </c>
      <c r="E6" s="4" t="s">
        <v>36</v>
      </c>
      <c r="F6" s="4" t="s">
        <v>37</v>
      </c>
      <c r="G6" s="4" t="s">
        <v>38</v>
      </c>
      <c r="H6" s="4" t="s">
        <v>39</v>
      </c>
      <c r="I6" s="4" t="s">
        <v>16</v>
      </c>
      <c r="J6" s="6" t="s">
        <v>791</v>
      </c>
      <c r="K6" s="6" t="s">
        <v>18</v>
      </c>
    </row>
    <row r="7" spans="1:11" hidden="1" x14ac:dyDescent="0.25">
      <c r="A7" s="1" t="s">
        <v>40</v>
      </c>
      <c r="B7" s="4" t="s">
        <v>41</v>
      </c>
      <c r="C7" s="5">
        <v>-4.0690010000000001</v>
      </c>
      <c r="D7" s="25">
        <v>-38.810313000000001</v>
      </c>
      <c r="E7" s="4" t="s">
        <v>42</v>
      </c>
      <c r="F7" s="4" t="s">
        <v>43</v>
      </c>
      <c r="G7" s="4" t="s">
        <v>44</v>
      </c>
      <c r="H7" s="4" t="s">
        <v>45</v>
      </c>
      <c r="I7" s="4" t="s">
        <v>16</v>
      </c>
      <c r="J7" s="6" t="s">
        <v>791</v>
      </c>
      <c r="K7" s="6" t="s">
        <v>18</v>
      </c>
    </row>
    <row r="8" spans="1:11" hidden="1" x14ac:dyDescent="0.25">
      <c r="A8" s="1" t="s">
        <v>46</v>
      </c>
      <c r="B8" s="4" t="s">
        <v>47</v>
      </c>
      <c r="C8" s="5">
        <v>-3.564063</v>
      </c>
      <c r="D8" s="5">
        <v>-39.971214000000003</v>
      </c>
      <c r="E8" s="4" t="s">
        <v>48</v>
      </c>
      <c r="F8" s="4" t="s">
        <v>49</v>
      </c>
      <c r="G8" s="4" t="s">
        <v>50</v>
      </c>
      <c r="H8" s="4" t="s">
        <v>51</v>
      </c>
      <c r="I8" s="4" t="s">
        <v>16</v>
      </c>
      <c r="J8" s="6" t="s">
        <v>791</v>
      </c>
      <c r="K8" s="6" t="s">
        <v>18</v>
      </c>
    </row>
    <row r="9" spans="1:11" hidden="1" x14ac:dyDescent="0.25">
      <c r="A9" s="1" t="s">
        <v>52</v>
      </c>
      <c r="B9" s="4" t="s">
        <v>53</v>
      </c>
      <c r="C9" s="5">
        <v>-3.56412</v>
      </c>
      <c r="D9" s="5">
        <v>-39.969997999999997</v>
      </c>
      <c r="E9" s="4" t="s">
        <v>48</v>
      </c>
      <c r="F9" s="4" t="s">
        <v>54</v>
      </c>
      <c r="G9" s="4" t="s">
        <v>55</v>
      </c>
      <c r="H9" s="4" t="s">
        <v>50</v>
      </c>
      <c r="I9" s="4" t="s">
        <v>16</v>
      </c>
      <c r="J9" s="6" t="s">
        <v>791</v>
      </c>
      <c r="K9" s="6" t="s">
        <v>18</v>
      </c>
    </row>
    <row r="10" spans="1:11" hidden="1" x14ac:dyDescent="0.25">
      <c r="A10" s="1" t="s">
        <v>56</v>
      </c>
      <c r="B10" s="4" t="s">
        <v>57</v>
      </c>
      <c r="C10" s="5">
        <v>-2.9383110000000001</v>
      </c>
      <c r="D10" s="5">
        <v>-40.181694</v>
      </c>
      <c r="E10" s="4" t="s">
        <v>58</v>
      </c>
      <c r="F10" s="4" t="s">
        <v>59</v>
      </c>
      <c r="G10" s="4" t="s">
        <v>60</v>
      </c>
      <c r="H10" s="4" t="s">
        <v>61</v>
      </c>
      <c r="I10" s="4" t="s">
        <v>16</v>
      </c>
      <c r="J10" s="6" t="s">
        <v>791</v>
      </c>
      <c r="K10" s="6" t="s">
        <v>18</v>
      </c>
    </row>
    <row r="11" spans="1:11" hidden="1" x14ac:dyDescent="0.25">
      <c r="A11" s="1" t="s">
        <v>62</v>
      </c>
      <c r="B11" s="4" t="s">
        <v>63</v>
      </c>
      <c r="C11" s="5">
        <v>-4.1096320000000004</v>
      </c>
      <c r="D11" s="5">
        <v>-38.748489999999997</v>
      </c>
      <c r="E11" s="4" t="s">
        <v>64</v>
      </c>
      <c r="F11" s="4" t="s">
        <v>65</v>
      </c>
      <c r="G11" s="4" t="s">
        <v>66</v>
      </c>
      <c r="H11" s="4" t="s">
        <v>67</v>
      </c>
      <c r="I11" s="4" t="s">
        <v>16</v>
      </c>
      <c r="J11" s="6" t="s">
        <v>791</v>
      </c>
      <c r="K11" s="6" t="s">
        <v>18</v>
      </c>
    </row>
    <row r="12" spans="1:11" x14ac:dyDescent="0.25">
      <c r="A12" s="1" t="s">
        <v>68</v>
      </c>
      <c r="B12" s="4" t="s">
        <v>69</v>
      </c>
      <c r="C12" s="5">
        <v>-4.0986159999999998</v>
      </c>
      <c r="D12" s="5">
        <v>-38.293233000000001</v>
      </c>
      <c r="E12" s="4" t="s">
        <v>70</v>
      </c>
      <c r="F12" s="4" t="s">
        <v>71</v>
      </c>
      <c r="G12" s="4" t="s">
        <v>72</v>
      </c>
      <c r="H12" s="4" t="s">
        <v>73</v>
      </c>
      <c r="I12" s="4" t="s">
        <v>16</v>
      </c>
      <c r="J12" s="6" t="s">
        <v>17</v>
      </c>
      <c r="K12" s="6" t="s">
        <v>18</v>
      </c>
    </row>
    <row r="13" spans="1:11" hidden="1" x14ac:dyDescent="0.25">
      <c r="A13" s="1" t="s">
        <v>74</v>
      </c>
      <c r="B13" s="4" t="s">
        <v>75</v>
      </c>
      <c r="C13" s="5">
        <v>-4.8604089999999998</v>
      </c>
      <c r="D13" s="5">
        <v>-39.051761999999997</v>
      </c>
      <c r="E13" s="4" t="s">
        <v>76</v>
      </c>
      <c r="F13" s="4" t="s">
        <v>77</v>
      </c>
      <c r="G13" s="4" t="s">
        <v>78</v>
      </c>
      <c r="H13" s="4" t="s">
        <v>79</v>
      </c>
      <c r="I13" s="4" t="s">
        <v>16</v>
      </c>
      <c r="J13" s="6" t="s">
        <v>791</v>
      </c>
      <c r="K13" s="6" t="s">
        <v>18</v>
      </c>
    </row>
    <row r="14" spans="1:11" hidden="1" x14ac:dyDescent="0.25">
      <c r="A14" s="1" t="s">
        <v>206</v>
      </c>
      <c r="B14" s="4" t="s">
        <v>207</v>
      </c>
      <c r="C14" s="5">
        <v>-4.9313539999999998</v>
      </c>
      <c r="D14" s="5">
        <v>-40.527043999999997</v>
      </c>
      <c r="E14" s="4" t="s">
        <v>208</v>
      </c>
      <c r="F14" s="4" t="s">
        <v>209</v>
      </c>
      <c r="G14" s="4" t="s">
        <v>210</v>
      </c>
      <c r="H14" s="4" t="s">
        <v>211</v>
      </c>
      <c r="I14" s="4" t="s">
        <v>16</v>
      </c>
      <c r="J14" s="6" t="s">
        <v>791</v>
      </c>
      <c r="K14" s="6" t="s">
        <v>18</v>
      </c>
    </row>
    <row r="15" spans="1:11" hidden="1" x14ac:dyDescent="0.25">
      <c r="A15" s="1" t="s">
        <v>212</v>
      </c>
      <c r="B15" s="4" t="s">
        <v>213</v>
      </c>
      <c r="C15" s="5">
        <v>-3.763614</v>
      </c>
      <c r="D15" s="5">
        <v>-40.979315</v>
      </c>
      <c r="E15" s="4" t="s">
        <v>208</v>
      </c>
      <c r="F15" s="4" t="s">
        <v>214</v>
      </c>
      <c r="G15" s="4" t="s">
        <v>215</v>
      </c>
      <c r="H15" s="4" t="s">
        <v>216</v>
      </c>
      <c r="I15" s="4" t="s">
        <v>16</v>
      </c>
      <c r="J15" s="6" t="s">
        <v>791</v>
      </c>
      <c r="K15" s="6" t="s">
        <v>18</v>
      </c>
    </row>
    <row r="16" spans="1:11" hidden="1" x14ac:dyDescent="0.25">
      <c r="A16" s="1" t="s">
        <v>217</v>
      </c>
      <c r="B16" s="4" t="s">
        <v>218</v>
      </c>
      <c r="C16" s="5">
        <v>-4.3993669999999998</v>
      </c>
      <c r="D16" s="5">
        <v>-40.711840000000002</v>
      </c>
      <c r="E16" s="4" t="s">
        <v>87</v>
      </c>
      <c r="F16" s="4" t="s">
        <v>219</v>
      </c>
      <c r="G16" s="4" t="s">
        <v>220</v>
      </c>
      <c r="H16" s="4" t="s">
        <v>221</v>
      </c>
      <c r="I16" s="4" t="s">
        <v>16</v>
      </c>
      <c r="J16" s="6" t="s">
        <v>791</v>
      </c>
      <c r="K16" s="6" t="s">
        <v>18</v>
      </c>
    </row>
    <row r="17" spans="1:11" hidden="1" x14ac:dyDescent="0.25">
      <c r="A17" s="1" t="s">
        <v>222</v>
      </c>
      <c r="B17" s="4" t="s">
        <v>223</v>
      </c>
      <c r="C17" s="5">
        <v>-3.8485079999999998</v>
      </c>
      <c r="D17" s="5">
        <v>-40.654885999999998</v>
      </c>
      <c r="E17" s="4" t="s">
        <v>148</v>
      </c>
      <c r="F17" s="4" t="s">
        <v>224</v>
      </c>
      <c r="G17" s="4" t="s">
        <v>225</v>
      </c>
      <c r="H17" s="4" t="s">
        <v>226</v>
      </c>
      <c r="I17" s="4" t="s">
        <v>16</v>
      </c>
      <c r="J17" s="6" t="s">
        <v>791</v>
      </c>
      <c r="K17" s="6" t="s">
        <v>18</v>
      </c>
    </row>
    <row r="18" spans="1:11" hidden="1" x14ac:dyDescent="0.25">
      <c r="A18" s="1" t="s">
        <v>227</v>
      </c>
      <c r="B18" s="4" t="s">
        <v>228</v>
      </c>
      <c r="C18" s="5">
        <v>-4.2870549999999996</v>
      </c>
      <c r="D18" s="5">
        <v>-38.933565000000002</v>
      </c>
      <c r="E18" s="4" t="s">
        <v>229</v>
      </c>
      <c r="F18" s="4" t="s">
        <v>230</v>
      </c>
      <c r="G18" s="4" t="s">
        <v>231</v>
      </c>
      <c r="H18" s="4" t="s">
        <v>232</v>
      </c>
      <c r="I18" s="4" t="s">
        <v>16</v>
      </c>
      <c r="J18" s="6" t="s">
        <v>791</v>
      </c>
      <c r="K18" s="6" t="s">
        <v>18</v>
      </c>
    </row>
    <row r="19" spans="1:11" hidden="1" x14ac:dyDescent="0.25">
      <c r="A19" s="1" t="s">
        <v>233</v>
      </c>
      <c r="B19" s="4" t="s">
        <v>234</v>
      </c>
      <c r="C19" s="5">
        <v>-3.9898509999999998</v>
      </c>
      <c r="D19" s="5">
        <v>-40.075502</v>
      </c>
      <c r="E19" s="4" t="s">
        <v>235</v>
      </c>
      <c r="F19" s="4" t="s">
        <v>236</v>
      </c>
      <c r="G19" s="4" t="s">
        <v>237</v>
      </c>
      <c r="H19" s="4" t="s">
        <v>238</v>
      </c>
      <c r="I19" s="4" t="s">
        <v>16</v>
      </c>
      <c r="J19" s="6" t="s">
        <v>791</v>
      </c>
      <c r="K19" s="6" t="s">
        <v>18</v>
      </c>
    </row>
    <row r="20" spans="1:11" hidden="1" x14ac:dyDescent="0.25">
      <c r="A20" s="1" t="s">
        <v>239</v>
      </c>
      <c r="B20" s="4" t="s">
        <v>240</v>
      </c>
      <c r="C20" s="5">
        <v>-3.9891380000000001</v>
      </c>
      <c r="D20" s="5">
        <v>-40.077649999999998</v>
      </c>
      <c r="E20" s="4" t="s">
        <v>241</v>
      </c>
      <c r="F20" s="4" t="s">
        <v>242</v>
      </c>
      <c r="G20" s="4" t="s">
        <v>243</v>
      </c>
      <c r="H20" s="4" t="s">
        <v>244</v>
      </c>
      <c r="I20" s="4" t="s">
        <v>16</v>
      </c>
      <c r="J20" s="6" t="s">
        <v>791</v>
      </c>
      <c r="K20" s="6" t="s">
        <v>18</v>
      </c>
    </row>
    <row r="21" spans="1:11" hidden="1" x14ac:dyDescent="0.25">
      <c r="A21" s="1" t="s">
        <v>245</v>
      </c>
      <c r="B21" s="4" t="s">
        <v>246</v>
      </c>
      <c r="C21" s="5">
        <v>-3.444842</v>
      </c>
      <c r="D21" s="5">
        <v>-39.394502000000003</v>
      </c>
      <c r="E21" s="4" t="s">
        <v>48</v>
      </c>
      <c r="F21" s="4" t="s">
        <v>247</v>
      </c>
      <c r="G21" s="4" t="s">
        <v>248</v>
      </c>
      <c r="H21" s="4" t="s">
        <v>249</v>
      </c>
      <c r="I21" s="4" t="s">
        <v>16</v>
      </c>
      <c r="J21" s="6" t="s">
        <v>791</v>
      </c>
      <c r="K21" s="6" t="s">
        <v>18</v>
      </c>
    </row>
    <row r="22" spans="1:11" x14ac:dyDescent="0.25">
      <c r="A22" s="1" t="s">
        <v>250</v>
      </c>
      <c r="B22" s="4" t="s">
        <v>251</v>
      </c>
      <c r="C22" s="5">
        <v>-4.5111470000000002</v>
      </c>
      <c r="D22" s="5">
        <v>-38.359068999999998</v>
      </c>
      <c r="E22" s="4" t="s">
        <v>191</v>
      </c>
      <c r="F22" s="4" t="s">
        <v>252</v>
      </c>
      <c r="G22" s="4" t="s">
        <v>253</v>
      </c>
      <c r="H22" s="4" t="s">
        <v>254</v>
      </c>
      <c r="I22" s="4" t="s">
        <v>16</v>
      </c>
      <c r="J22" s="6" t="s">
        <v>17</v>
      </c>
      <c r="K22" s="6" t="s">
        <v>18</v>
      </c>
    </row>
    <row r="23" spans="1:11" hidden="1" x14ac:dyDescent="0.25">
      <c r="A23" s="1" t="s">
        <v>255</v>
      </c>
      <c r="B23" s="4" t="s">
        <v>256</v>
      </c>
      <c r="C23" s="5">
        <v>-4.1661080000000004</v>
      </c>
      <c r="D23" s="5">
        <v>-38.694837999999997</v>
      </c>
      <c r="E23" s="4" t="s">
        <v>42</v>
      </c>
      <c r="F23" s="4" t="s">
        <v>257</v>
      </c>
      <c r="G23" s="4" t="s">
        <v>258</v>
      </c>
      <c r="H23" s="4" t="s">
        <v>259</v>
      </c>
      <c r="I23" s="4" t="s">
        <v>16</v>
      </c>
      <c r="J23" s="6" t="s">
        <v>791</v>
      </c>
      <c r="K23" s="6" t="s">
        <v>18</v>
      </c>
    </row>
    <row r="24" spans="1:11" hidden="1" x14ac:dyDescent="0.25">
      <c r="A24" s="1" t="s">
        <v>260</v>
      </c>
      <c r="B24" s="4" t="s">
        <v>261</v>
      </c>
      <c r="C24" s="5">
        <v>-4.1592560000000001</v>
      </c>
      <c r="D24" s="5">
        <v>-38.683739000000003</v>
      </c>
      <c r="E24" s="4" t="s">
        <v>76</v>
      </c>
      <c r="F24" s="4" t="s">
        <v>262</v>
      </c>
      <c r="G24" s="4" t="s">
        <v>66</v>
      </c>
      <c r="H24" s="4" t="s">
        <v>263</v>
      </c>
      <c r="I24" s="4" t="s">
        <v>16</v>
      </c>
      <c r="J24" s="6" t="s">
        <v>791</v>
      </c>
      <c r="K24" s="6" t="s">
        <v>178</v>
      </c>
    </row>
    <row r="25" spans="1:11" hidden="1" x14ac:dyDescent="0.25">
      <c r="A25" s="1" t="s">
        <v>264</v>
      </c>
      <c r="B25" s="4" t="s">
        <v>265</v>
      </c>
      <c r="C25" s="5">
        <v>-3.8713510000000002</v>
      </c>
      <c r="D25" s="5">
        <v>-39.534920999999997</v>
      </c>
      <c r="E25" s="4" t="s">
        <v>266</v>
      </c>
      <c r="F25" s="4" t="s">
        <v>267</v>
      </c>
      <c r="G25" s="4" t="s">
        <v>268</v>
      </c>
      <c r="H25" s="4" t="s">
        <v>269</v>
      </c>
      <c r="I25" s="4" t="s">
        <v>16</v>
      </c>
      <c r="J25" s="6" t="s">
        <v>791</v>
      </c>
      <c r="K25" s="6" t="s">
        <v>18</v>
      </c>
    </row>
    <row r="26" spans="1:11" hidden="1" x14ac:dyDescent="0.25">
      <c r="A26" s="1" t="s">
        <v>270</v>
      </c>
      <c r="B26" s="4" t="s">
        <v>271</v>
      </c>
      <c r="C26" s="5">
        <v>-4.0275179999999997</v>
      </c>
      <c r="D26" s="5">
        <v>-39.452258999999998</v>
      </c>
      <c r="E26" s="4" t="s">
        <v>272</v>
      </c>
      <c r="F26" s="4" t="s">
        <v>273</v>
      </c>
      <c r="G26" s="4" t="s">
        <v>274</v>
      </c>
      <c r="H26" s="4" t="s">
        <v>275</v>
      </c>
      <c r="I26" s="4" t="s">
        <v>16</v>
      </c>
      <c r="J26" s="6" t="s">
        <v>791</v>
      </c>
      <c r="K26" s="6" t="s">
        <v>18</v>
      </c>
    </row>
    <row r="27" spans="1:11" hidden="1" x14ac:dyDescent="0.25">
      <c r="A27" s="1" t="s">
        <v>276</v>
      </c>
      <c r="B27" s="4" t="s">
        <v>277</v>
      </c>
      <c r="C27" s="5">
        <v>-4.1980709999999997</v>
      </c>
      <c r="D27" s="5">
        <v>-38.904389999999999</v>
      </c>
      <c r="E27" s="4" t="s">
        <v>36</v>
      </c>
      <c r="F27" s="4" t="s">
        <v>278</v>
      </c>
      <c r="G27" s="4" t="s">
        <v>279</v>
      </c>
      <c r="H27" s="4" t="s">
        <v>280</v>
      </c>
      <c r="I27" s="4" t="s">
        <v>16</v>
      </c>
      <c r="J27" s="6" t="s">
        <v>791</v>
      </c>
      <c r="K27" s="6" t="s">
        <v>18</v>
      </c>
    </row>
    <row r="28" spans="1:11" hidden="1" x14ac:dyDescent="0.25">
      <c r="A28" s="1" t="s">
        <v>281</v>
      </c>
      <c r="B28" s="4" t="s">
        <v>282</v>
      </c>
      <c r="C28" s="5">
        <v>-4.2305849999999996</v>
      </c>
      <c r="D28" s="5">
        <v>-38.930357000000001</v>
      </c>
      <c r="E28" s="4" t="s">
        <v>36</v>
      </c>
      <c r="F28" s="4" t="s">
        <v>283</v>
      </c>
      <c r="G28" s="4" t="s">
        <v>284</v>
      </c>
      <c r="H28" s="4" t="s">
        <v>285</v>
      </c>
      <c r="I28" s="4" t="s">
        <v>16</v>
      </c>
      <c r="J28" s="6" t="s">
        <v>791</v>
      </c>
      <c r="K28" s="6" t="s">
        <v>18</v>
      </c>
    </row>
    <row r="29" spans="1:11" hidden="1" x14ac:dyDescent="0.25">
      <c r="A29" s="1" t="s">
        <v>80</v>
      </c>
      <c r="B29" s="4" t="s">
        <v>81</v>
      </c>
      <c r="C29" s="5">
        <v>-4.4056509999999998</v>
      </c>
      <c r="D29" s="5">
        <v>-39.049227999999999</v>
      </c>
      <c r="E29" s="4" t="s">
        <v>36</v>
      </c>
      <c r="F29" s="4" t="s">
        <v>82</v>
      </c>
      <c r="G29" s="4" t="s">
        <v>83</v>
      </c>
      <c r="H29" s="4" t="s">
        <v>84</v>
      </c>
      <c r="I29" s="4" t="s">
        <v>16</v>
      </c>
      <c r="J29" s="6" t="s">
        <v>791</v>
      </c>
      <c r="K29" s="6" t="s">
        <v>18</v>
      </c>
    </row>
    <row r="30" spans="1:11" hidden="1" x14ac:dyDescent="0.25">
      <c r="A30" s="1" t="s">
        <v>85</v>
      </c>
      <c r="B30" s="4" t="s">
        <v>86</v>
      </c>
      <c r="C30" s="5">
        <v>-4.4364990000000004</v>
      </c>
      <c r="D30" s="5">
        <v>-39.025733000000002</v>
      </c>
      <c r="E30" s="4" t="s">
        <v>87</v>
      </c>
      <c r="F30" s="4" t="s">
        <v>88</v>
      </c>
      <c r="G30" s="4" t="s">
        <v>89</v>
      </c>
      <c r="H30" s="4" t="s">
        <v>90</v>
      </c>
      <c r="I30" s="4" t="s">
        <v>16</v>
      </c>
      <c r="J30" s="6" t="s">
        <v>791</v>
      </c>
      <c r="K30" s="6" t="s">
        <v>18</v>
      </c>
    </row>
    <row r="31" spans="1:11" hidden="1" x14ac:dyDescent="0.25">
      <c r="A31" s="1" t="s">
        <v>91</v>
      </c>
      <c r="B31" s="4" t="s">
        <v>92</v>
      </c>
      <c r="C31" s="5">
        <v>-4.4102269999999999</v>
      </c>
      <c r="D31" s="5">
        <v>-39.059131999999998</v>
      </c>
      <c r="E31" s="4" t="s">
        <v>87</v>
      </c>
      <c r="F31" s="4" t="s">
        <v>93</v>
      </c>
      <c r="G31" s="4" t="s">
        <v>90</v>
      </c>
      <c r="H31" s="4" t="s">
        <v>94</v>
      </c>
      <c r="I31" s="4" t="s">
        <v>16</v>
      </c>
      <c r="J31" s="6" t="s">
        <v>791</v>
      </c>
      <c r="K31" s="6" t="s">
        <v>18</v>
      </c>
    </row>
    <row r="32" spans="1:11" hidden="1" x14ac:dyDescent="0.25">
      <c r="A32" s="1" t="s">
        <v>286</v>
      </c>
      <c r="B32" s="4" t="s">
        <v>287</v>
      </c>
      <c r="C32" s="5">
        <v>-3.9746090000000001</v>
      </c>
      <c r="D32" s="5">
        <v>-38.710085999999997</v>
      </c>
      <c r="E32" s="4" t="s">
        <v>288</v>
      </c>
      <c r="F32" s="4" t="s">
        <v>289</v>
      </c>
      <c r="G32" s="4" t="s">
        <v>290</v>
      </c>
      <c r="H32" s="4" t="s">
        <v>263</v>
      </c>
      <c r="I32" s="4" t="s">
        <v>16</v>
      </c>
      <c r="J32" s="6" t="s">
        <v>791</v>
      </c>
      <c r="K32" s="6" t="s">
        <v>18</v>
      </c>
    </row>
    <row r="33" spans="1:11" hidden="1" x14ac:dyDescent="0.25">
      <c r="A33" s="1" t="s">
        <v>291</v>
      </c>
      <c r="B33" s="4" t="s">
        <v>292</v>
      </c>
      <c r="C33" s="5">
        <v>-3.2161379999999999</v>
      </c>
      <c r="D33" s="5">
        <v>-40.866370000000003</v>
      </c>
      <c r="E33" s="4" t="s">
        <v>293</v>
      </c>
      <c r="F33" s="4" t="s">
        <v>294</v>
      </c>
      <c r="G33" s="4" t="s">
        <v>295</v>
      </c>
      <c r="H33" s="4" t="s">
        <v>296</v>
      </c>
      <c r="I33" s="4" t="s">
        <v>16</v>
      </c>
      <c r="J33" s="6" t="s">
        <v>791</v>
      </c>
      <c r="K33" s="6" t="s">
        <v>18</v>
      </c>
    </row>
    <row r="34" spans="1:11" hidden="1" x14ac:dyDescent="0.25">
      <c r="A34" s="1" t="s">
        <v>297</v>
      </c>
      <c r="B34" s="4" t="s">
        <v>298</v>
      </c>
      <c r="C34" s="5">
        <v>-3.6712609999999999</v>
      </c>
      <c r="D34" s="5">
        <v>-38.815711</v>
      </c>
      <c r="E34" s="4" t="s">
        <v>399</v>
      </c>
      <c r="F34" s="4" t="s">
        <v>874</v>
      </c>
      <c r="G34" s="4" t="s">
        <v>299</v>
      </c>
      <c r="H34" s="4" t="s">
        <v>544</v>
      </c>
      <c r="I34" s="4" t="s">
        <v>16</v>
      </c>
      <c r="J34" s="6" t="s">
        <v>791</v>
      </c>
      <c r="K34" s="6" t="s">
        <v>178</v>
      </c>
    </row>
    <row r="35" spans="1:11" hidden="1" x14ac:dyDescent="0.25">
      <c r="A35" s="1" t="s">
        <v>300</v>
      </c>
      <c r="B35" s="4" t="s">
        <v>301</v>
      </c>
      <c r="C35" s="5">
        <v>-4.5677839999999996</v>
      </c>
      <c r="D35" s="5">
        <v>-41.220272999999999</v>
      </c>
      <c r="E35" s="4" t="s">
        <v>302</v>
      </c>
      <c r="F35" s="4" t="s">
        <v>303</v>
      </c>
      <c r="G35" s="4" t="s">
        <v>304</v>
      </c>
      <c r="H35" s="4" t="s">
        <v>305</v>
      </c>
      <c r="I35" s="4" t="s">
        <v>16</v>
      </c>
      <c r="J35" s="6" t="s">
        <v>791</v>
      </c>
      <c r="K35" s="6" t="s">
        <v>306</v>
      </c>
    </row>
    <row r="36" spans="1:11" x14ac:dyDescent="0.25">
      <c r="A36" s="1" t="s">
        <v>307</v>
      </c>
      <c r="B36" s="4" t="s">
        <v>308</v>
      </c>
      <c r="C36" s="5">
        <v>-5.9926050000000002</v>
      </c>
      <c r="D36" s="5">
        <v>-38.620525000000001</v>
      </c>
      <c r="E36" s="4" t="s">
        <v>136</v>
      </c>
      <c r="F36" s="4" t="s">
        <v>309</v>
      </c>
      <c r="G36" s="4" t="s">
        <v>310</v>
      </c>
      <c r="H36" s="4" t="s">
        <v>311</v>
      </c>
      <c r="I36" s="4" t="s">
        <v>16</v>
      </c>
      <c r="J36" s="6" t="s">
        <v>17</v>
      </c>
      <c r="K36" s="6" t="s">
        <v>18</v>
      </c>
    </row>
    <row r="37" spans="1:11" hidden="1" x14ac:dyDescent="0.25">
      <c r="A37" s="1" t="s">
        <v>95</v>
      </c>
      <c r="B37" s="4" t="s">
        <v>96</v>
      </c>
      <c r="C37" s="5">
        <v>-4.3321139999999998</v>
      </c>
      <c r="D37" s="5">
        <v>-39.286347999999997</v>
      </c>
      <c r="E37" s="4" t="s">
        <v>97</v>
      </c>
      <c r="F37" s="4" t="s">
        <v>98</v>
      </c>
      <c r="G37" s="4" t="s">
        <v>99</v>
      </c>
      <c r="H37" s="4" t="s">
        <v>100</v>
      </c>
      <c r="I37" s="4" t="s">
        <v>101</v>
      </c>
      <c r="J37" s="6" t="s">
        <v>791</v>
      </c>
      <c r="K37" s="6" t="s">
        <v>18</v>
      </c>
    </row>
    <row r="38" spans="1:11" x14ac:dyDescent="0.25">
      <c r="A38" s="1" t="s">
        <v>102</v>
      </c>
      <c r="B38" s="4" t="s">
        <v>103</v>
      </c>
      <c r="C38" s="5">
        <v>-4.2780500000000004</v>
      </c>
      <c r="D38" s="5">
        <v>-38.493232999999996</v>
      </c>
      <c r="E38" s="4" t="s">
        <v>104</v>
      </c>
      <c r="F38" s="4" t="s">
        <v>105</v>
      </c>
      <c r="G38" s="4" t="s">
        <v>106</v>
      </c>
      <c r="H38" s="4" t="s">
        <v>107</v>
      </c>
      <c r="I38" s="4" t="s">
        <v>101</v>
      </c>
      <c r="J38" s="6" t="s">
        <v>17</v>
      </c>
      <c r="K38" s="6" t="s">
        <v>18</v>
      </c>
    </row>
    <row r="39" spans="1:11" hidden="1" x14ac:dyDescent="0.25">
      <c r="A39" s="1" t="s">
        <v>108</v>
      </c>
      <c r="B39" s="4" t="s">
        <v>109</v>
      </c>
      <c r="C39" s="5">
        <v>-4.9123150000000004</v>
      </c>
      <c r="D39" s="5">
        <v>-38.000574</v>
      </c>
      <c r="E39" s="4" t="s">
        <v>104</v>
      </c>
      <c r="F39" s="4" t="s">
        <v>110</v>
      </c>
      <c r="G39" s="4" t="s">
        <v>111</v>
      </c>
      <c r="H39" s="4" t="s">
        <v>112</v>
      </c>
      <c r="I39" s="4" t="s">
        <v>101</v>
      </c>
      <c r="J39" s="6" t="s">
        <v>791</v>
      </c>
      <c r="K39" s="6" t="s">
        <v>18</v>
      </c>
    </row>
    <row r="40" spans="1:11" x14ac:dyDescent="0.25">
      <c r="A40" s="1" t="s">
        <v>113</v>
      </c>
      <c r="B40" s="4" t="s">
        <v>114</v>
      </c>
      <c r="C40" s="5">
        <v>-3.7025830000000002</v>
      </c>
      <c r="D40" s="5">
        <v>-38.858766000000003</v>
      </c>
      <c r="E40" s="4" t="s">
        <v>115</v>
      </c>
      <c r="F40" s="4" t="s">
        <v>116</v>
      </c>
      <c r="G40" s="4" t="s">
        <v>117</v>
      </c>
      <c r="H40" s="4" t="s">
        <v>118</v>
      </c>
      <c r="I40" s="4" t="s">
        <v>101</v>
      </c>
      <c r="J40" s="6" t="s">
        <v>17</v>
      </c>
      <c r="K40" s="6" t="s">
        <v>18</v>
      </c>
    </row>
    <row r="41" spans="1:11" hidden="1" x14ac:dyDescent="0.25">
      <c r="A41" s="1" t="s">
        <v>119</v>
      </c>
      <c r="B41" s="4" t="s">
        <v>120</v>
      </c>
      <c r="C41" s="5">
        <v>-3.751042</v>
      </c>
      <c r="D41" s="5">
        <v>-40.032590999999996</v>
      </c>
      <c r="E41" s="4" t="s">
        <v>115</v>
      </c>
      <c r="F41" s="4" t="s">
        <v>121</v>
      </c>
      <c r="G41" s="4" t="s">
        <v>122</v>
      </c>
      <c r="H41" s="4" t="s">
        <v>123</v>
      </c>
      <c r="I41" s="4" t="s">
        <v>101</v>
      </c>
      <c r="J41" s="6" t="s">
        <v>791</v>
      </c>
      <c r="K41" s="6" t="s">
        <v>18</v>
      </c>
    </row>
    <row r="42" spans="1:11" hidden="1" x14ac:dyDescent="0.25">
      <c r="A42" s="1" t="s">
        <v>124</v>
      </c>
      <c r="B42" s="4" t="s">
        <v>125</v>
      </c>
      <c r="C42" s="5">
        <v>-3.7484069999999998</v>
      </c>
      <c r="D42" s="5">
        <v>-41.013356999999999</v>
      </c>
      <c r="E42" s="4" t="s">
        <v>115</v>
      </c>
      <c r="F42" s="4" t="s">
        <v>126</v>
      </c>
      <c r="G42" s="4" t="s">
        <v>127</v>
      </c>
      <c r="H42" s="4" t="s">
        <v>128</v>
      </c>
      <c r="I42" s="4" t="s">
        <v>101</v>
      </c>
      <c r="J42" s="6" t="s">
        <v>791</v>
      </c>
      <c r="K42" s="6" t="s">
        <v>18</v>
      </c>
    </row>
    <row r="43" spans="1:11" hidden="1" x14ac:dyDescent="0.25">
      <c r="A43" s="1" t="s">
        <v>312</v>
      </c>
      <c r="B43" s="4" t="s">
        <v>313</v>
      </c>
      <c r="C43" s="5">
        <v>-4.228675</v>
      </c>
      <c r="D43" s="5">
        <v>-38.906652000000001</v>
      </c>
      <c r="E43" s="4" t="s">
        <v>148</v>
      </c>
      <c r="F43" s="4" t="s">
        <v>314</v>
      </c>
      <c r="G43" s="4" t="s">
        <v>315</v>
      </c>
      <c r="H43" s="4" t="s">
        <v>316</v>
      </c>
      <c r="I43" s="4" t="s">
        <v>151</v>
      </c>
      <c r="J43" s="6" t="s">
        <v>791</v>
      </c>
      <c r="K43" s="6" t="s">
        <v>18</v>
      </c>
    </row>
    <row r="44" spans="1:11" hidden="1" x14ac:dyDescent="0.25">
      <c r="A44" s="1" t="s">
        <v>317</v>
      </c>
      <c r="B44" s="4" t="s">
        <v>318</v>
      </c>
      <c r="C44" s="5">
        <v>-3.910955</v>
      </c>
      <c r="D44" s="5">
        <v>-40.392012999999999</v>
      </c>
      <c r="E44" s="4" t="s">
        <v>148</v>
      </c>
      <c r="F44" s="4" t="s">
        <v>319</v>
      </c>
      <c r="G44" s="4" t="s">
        <v>320</v>
      </c>
      <c r="H44" s="4" t="s">
        <v>321</v>
      </c>
      <c r="I44" s="4" t="s">
        <v>101</v>
      </c>
      <c r="J44" s="6" t="s">
        <v>791</v>
      </c>
      <c r="K44" s="6" t="s">
        <v>18</v>
      </c>
    </row>
    <row r="45" spans="1:11" hidden="1" x14ac:dyDescent="0.25">
      <c r="A45" s="1" t="s">
        <v>322</v>
      </c>
      <c r="B45" s="4" t="s">
        <v>323</v>
      </c>
      <c r="C45" s="5">
        <v>-3.907435</v>
      </c>
      <c r="D45" s="5">
        <v>-40.881774999999998</v>
      </c>
      <c r="E45" s="4" t="s">
        <v>148</v>
      </c>
      <c r="F45" s="4" t="s">
        <v>324</v>
      </c>
      <c r="G45" s="4" t="s">
        <v>325</v>
      </c>
      <c r="H45" s="4" t="s">
        <v>326</v>
      </c>
      <c r="I45" s="4" t="s">
        <v>151</v>
      </c>
      <c r="J45" s="6" t="s">
        <v>791</v>
      </c>
      <c r="K45" s="6" t="s">
        <v>18</v>
      </c>
    </row>
    <row r="46" spans="1:11" hidden="1" x14ac:dyDescent="0.25">
      <c r="A46" s="1" t="s">
        <v>327</v>
      </c>
      <c r="B46" s="4" t="s">
        <v>328</v>
      </c>
      <c r="C46" s="5">
        <v>-4.5644640000000001</v>
      </c>
      <c r="D46" s="5">
        <v>-40.746068999999999</v>
      </c>
      <c r="E46" s="4" t="s">
        <v>87</v>
      </c>
      <c r="F46" s="4" t="s">
        <v>329</v>
      </c>
      <c r="G46" s="4" t="s">
        <v>330</v>
      </c>
      <c r="H46" s="4" t="s">
        <v>331</v>
      </c>
      <c r="I46" s="4" t="s">
        <v>101</v>
      </c>
      <c r="J46" s="6" t="s">
        <v>791</v>
      </c>
      <c r="K46" s="6" t="s">
        <v>18</v>
      </c>
    </row>
    <row r="47" spans="1:11" hidden="1" x14ac:dyDescent="0.25">
      <c r="A47" s="1" t="s">
        <v>332</v>
      </c>
      <c r="B47" s="4" t="s">
        <v>333</v>
      </c>
      <c r="C47" s="5">
        <v>-4.720345</v>
      </c>
      <c r="D47" s="5">
        <v>-37.548856999999998</v>
      </c>
      <c r="E47" s="4" t="s">
        <v>334</v>
      </c>
      <c r="F47" s="4" t="s">
        <v>335</v>
      </c>
      <c r="G47" s="4" t="s">
        <v>336</v>
      </c>
      <c r="H47" s="4" t="s">
        <v>337</v>
      </c>
      <c r="I47" s="4" t="s">
        <v>151</v>
      </c>
      <c r="J47" s="6" t="s">
        <v>791</v>
      </c>
      <c r="K47" s="6" t="s">
        <v>18</v>
      </c>
    </row>
    <row r="48" spans="1:11" hidden="1" x14ac:dyDescent="0.25">
      <c r="A48" s="1" t="s">
        <v>338</v>
      </c>
      <c r="B48" s="4" t="s">
        <v>339</v>
      </c>
      <c r="C48" s="5">
        <v>-4.8210379999999997</v>
      </c>
      <c r="D48" s="5">
        <v>-37.875945000000002</v>
      </c>
      <c r="E48" s="4" t="s">
        <v>340</v>
      </c>
      <c r="F48" s="4" t="s">
        <v>341</v>
      </c>
      <c r="G48" s="4" t="s">
        <v>342</v>
      </c>
      <c r="H48" s="4" t="s">
        <v>343</v>
      </c>
      <c r="I48" s="4" t="s">
        <v>101</v>
      </c>
      <c r="J48" s="6" t="s">
        <v>791</v>
      </c>
      <c r="K48" s="6" t="s">
        <v>18</v>
      </c>
    </row>
    <row r="49" spans="1:11" hidden="1" x14ac:dyDescent="0.25">
      <c r="A49" s="1" t="s">
        <v>129</v>
      </c>
      <c r="B49" s="4" t="s">
        <v>130</v>
      </c>
      <c r="C49" s="5">
        <v>-4.9633900000000004</v>
      </c>
      <c r="D49" s="5">
        <v>-39.039115000000002</v>
      </c>
      <c r="E49" s="4" t="s">
        <v>12</v>
      </c>
      <c r="F49" s="4" t="s">
        <v>131</v>
      </c>
      <c r="G49" s="4" t="s">
        <v>132</v>
      </c>
      <c r="H49" s="4" t="s">
        <v>133</v>
      </c>
      <c r="I49" s="4" t="s">
        <v>101</v>
      </c>
      <c r="J49" s="6" t="s">
        <v>791</v>
      </c>
      <c r="K49" s="6" t="s">
        <v>18</v>
      </c>
    </row>
    <row r="50" spans="1:11" hidden="1" x14ac:dyDescent="0.25">
      <c r="A50" s="1" t="s">
        <v>134</v>
      </c>
      <c r="B50" s="4" t="s">
        <v>135</v>
      </c>
      <c r="C50" s="5">
        <v>-5.194903</v>
      </c>
      <c r="D50" s="5">
        <v>-40.633378</v>
      </c>
      <c r="E50" s="4" t="s">
        <v>136</v>
      </c>
      <c r="F50" s="4" t="s">
        <v>137</v>
      </c>
      <c r="G50" s="4" t="s">
        <v>138</v>
      </c>
      <c r="H50" s="4" t="s">
        <v>139</v>
      </c>
      <c r="I50" s="4" t="s">
        <v>101</v>
      </c>
      <c r="J50" s="6" t="s">
        <v>791</v>
      </c>
      <c r="K50" s="6" t="s">
        <v>18</v>
      </c>
    </row>
    <row r="51" spans="1:11" hidden="1" x14ac:dyDescent="0.25">
      <c r="A51" s="1" t="s">
        <v>344</v>
      </c>
      <c r="B51" s="4" t="s">
        <v>345</v>
      </c>
      <c r="C51" s="5">
        <v>-4.702947</v>
      </c>
      <c r="D51" s="5">
        <v>-40.549087999999998</v>
      </c>
      <c r="E51" s="4" t="s">
        <v>12</v>
      </c>
      <c r="F51" s="4" t="s">
        <v>346</v>
      </c>
      <c r="G51" s="4" t="s">
        <v>347</v>
      </c>
      <c r="H51" s="4" t="s">
        <v>22</v>
      </c>
      <c r="I51" s="4" t="s">
        <v>151</v>
      </c>
      <c r="J51" s="6" t="s">
        <v>791</v>
      </c>
      <c r="K51" s="6" t="s">
        <v>18</v>
      </c>
    </row>
    <row r="52" spans="1:11" hidden="1" x14ac:dyDescent="0.25">
      <c r="A52" s="1" t="s">
        <v>348</v>
      </c>
      <c r="B52" s="4" t="s">
        <v>349</v>
      </c>
      <c r="C52" s="5">
        <v>-5.2215020000000001</v>
      </c>
      <c r="D52" s="5">
        <v>-37.892071000000001</v>
      </c>
      <c r="E52" s="4" t="s">
        <v>350</v>
      </c>
      <c r="F52" s="4" t="s">
        <v>351</v>
      </c>
      <c r="G52" s="4" t="s">
        <v>352</v>
      </c>
      <c r="H52" s="4" t="s">
        <v>353</v>
      </c>
      <c r="I52" s="4" t="s">
        <v>101</v>
      </c>
      <c r="J52" s="6" t="s">
        <v>791</v>
      </c>
      <c r="K52" s="6" t="s">
        <v>306</v>
      </c>
    </row>
    <row r="53" spans="1:11" hidden="1" x14ac:dyDescent="0.25">
      <c r="A53" s="1" t="s">
        <v>354</v>
      </c>
      <c r="B53" s="4" t="s">
        <v>355</v>
      </c>
      <c r="C53" s="5">
        <v>-5.2506180000000002</v>
      </c>
      <c r="D53" s="5">
        <v>-38.494636999999997</v>
      </c>
      <c r="E53" s="4" t="s">
        <v>356</v>
      </c>
      <c r="F53" s="4" t="s">
        <v>357</v>
      </c>
      <c r="G53" s="4" t="s">
        <v>27</v>
      </c>
      <c r="H53" s="4" t="s">
        <v>358</v>
      </c>
      <c r="I53" s="4" t="s">
        <v>101</v>
      </c>
      <c r="J53" s="6" t="s">
        <v>791</v>
      </c>
      <c r="K53" s="6" t="s">
        <v>18</v>
      </c>
    </row>
    <row r="54" spans="1:11" hidden="1" x14ac:dyDescent="0.25">
      <c r="A54" s="1" t="s">
        <v>359</v>
      </c>
      <c r="B54" s="4" t="s">
        <v>360</v>
      </c>
      <c r="C54" s="5">
        <v>-5.4016780000000004</v>
      </c>
      <c r="D54" s="5">
        <v>-38.569516999999998</v>
      </c>
      <c r="E54" s="4" t="s">
        <v>361</v>
      </c>
      <c r="F54" s="4" t="s">
        <v>362</v>
      </c>
      <c r="G54" s="4" t="s">
        <v>363</v>
      </c>
      <c r="H54" s="4" t="s">
        <v>364</v>
      </c>
      <c r="I54" s="4" t="s">
        <v>151</v>
      </c>
      <c r="J54" s="6" t="s">
        <v>791</v>
      </c>
      <c r="K54" s="6" t="s">
        <v>18</v>
      </c>
    </row>
    <row r="55" spans="1:11" x14ac:dyDescent="0.25">
      <c r="A55" s="1" t="s">
        <v>365</v>
      </c>
      <c r="B55" s="4" t="s">
        <v>366</v>
      </c>
      <c r="C55" s="5">
        <v>-5.9727329999999998</v>
      </c>
      <c r="D55" s="5">
        <v>-38.8797</v>
      </c>
      <c r="E55" s="4" t="s">
        <v>367</v>
      </c>
      <c r="F55" s="4" t="s">
        <v>368</v>
      </c>
      <c r="G55" s="4" t="s">
        <v>369</v>
      </c>
      <c r="H55" s="4" t="s">
        <v>370</v>
      </c>
      <c r="I55" s="4" t="s">
        <v>151</v>
      </c>
      <c r="J55" s="6" t="s">
        <v>17</v>
      </c>
      <c r="K55" s="6" t="s">
        <v>18</v>
      </c>
    </row>
    <row r="56" spans="1:11" hidden="1" x14ac:dyDescent="0.25">
      <c r="A56" s="1" t="s">
        <v>140</v>
      </c>
      <c r="B56" s="4" t="s">
        <v>141</v>
      </c>
      <c r="C56" s="5">
        <v>-4.5740670000000003</v>
      </c>
      <c r="D56" s="5">
        <v>-37.736370999999998</v>
      </c>
      <c r="E56" s="4" t="s">
        <v>142</v>
      </c>
      <c r="F56" s="4" t="s">
        <v>143</v>
      </c>
      <c r="G56" s="4" t="s">
        <v>144</v>
      </c>
      <c r="H56" s="4" t="s">
        <v>145</v>
      </c>
      <c r="I56" s="4" t="s">
        <v>101</v>
      </c>
      <c r="J56" s="6" t="s">
        <v>791</v>
      </c>
      <c r="K56" s="6" t="s">
        <v>18</v>
      </c>
    </row>
    <row r="57" spans="1:11" hidden="1" x14ac:dyDescent="0.25">
      <c r="A57" s="1" t="s">
        <v>371</v>
      </c>
      <c r="B57" s="4" t="s">
        <v>372</v>
      </c>
      <c r="C57" s="5">
        <v>-3.569178</v>
      </c>
      <c r="D57" s="5">
        <v>-41.161022000000003</v>
      </c>
      <c r="E57" s="4" t="s">
        <v>776</v>
      </c>
      <c r="F57" s="4" t="s">
        <v>871</v>
      </c>
      <c r="G57" s="4" t="s">
        <v>872</v>
      </c>
      <c r="H57" s="4" t="s">
        <v>873</v>
      </c>
      <c r="I57" s="4" t="s">
        <v>151</v>
      </c>
      <c r="J57" s="6" t="s">
        <v>791</v>
      </c>
      <c r="K57" s="6" t="s">
        <v>18</v>
      </c>
    </row>
    <row r="58" spans="1:11" hidden="1" x14ac:dyDescent="0.25">
      <c r="A58" s="1" t="s">
        <v>373</v>
      </c>
      <c r="B58" s="4" t="s">
        <v>374</v>
      </c>
      <c r="C58" s="5">
        <v>-3.8472559999999998</v>
      </c>
      <c r="D58" s="5">
        <v>-40.655659</v>
      </c>
      <c r="E58" s="4" t="s">
        <v>375</v>
      </c>
      <c r="F58" s="4" t="s">
        <v>376</v>
      </c>
      <c r="G58" s="4" t="s">
        <v>377</v>
      </c>
      <c r="H58" s="4" t="s">
        <v>378</v>
      </c>
      <c r="I58" s="4" t="s">
        <v>151</v>
      </c>
      <c r="J58" s="6" t="s">
        <v>791</v>
      </c>
      <c r="K58" s="6" t="s">
        <v>18</v>
      </c>
    </row>
    <row r="59" spans="1:11" x14ac:dyDescent="0.25">
      <c r="A59" s="1" t="s">
        <v>146</v>
      </c>
      <c r="B59" s="4" t="s">
        <v>147</v>
      </c>
      <c r="C59" s="5">
        <v>-4.1458159999999999</v>
      </c>
      <c r="D59" s="5">
        <v>-38.278216</v>
      </c>
      <c r="E59" s="4" t="s">
        <v>148</v>
      </c>
      <c r="F59" s="4" t="s">
        <v>149</v>
      </c>
      <c r="G59" s="4" t="s">
        <v>73</v>
      </c>
      <c r="H59" s="4" t="s">
        <v>150</v>
      </c>
      <c r="I59" s="4" t="s">
        <v>151</v>
      </c>
      <c r="J59" s="6" t="s">
        <v>17</v>
      </c>
      <c r="K59" s="6" t="s">
        <v>18</v>
      </c>
    </row>
    <row r="60" spans="1:11" hidden="1" x14ac:dyDescent="0.25">
      <c r="A60" s="1" t="s">
        <v>379</v>
      </c>
      <c r="B60" s="4" t="s">
        <v>380</v>
      </c>
      <c r="C60" s="5">
        <v>-3.9773689999999999</v>
      </c>
      <c r="D60" s="5">
        <v>-40.707929999999998</v>
      </c>
      <c r="E60" s="4" t="s">
        <v>375</v>
      </c>
      <c r="F60" s="4" t="s">
        <v>875</v>
      </c>
      <c r="G60" s="4" t="s">
        <v>506</v>
      </c>
      <c r="H60" s="4" t="s">
        <v>876</v>
      </c>
      <c r="I60" s="4" t="s">
        <v>151</v>
      </c>
      <c r="J60" s="6" t="s">
        <v>791</v>
      </c>
      <c r="K60" s="6" t="s">
        <v>18</v>
      </c>
    </row>
    <row r="61" spans="1:11" hidden="1" x14ac:dyDescent="0.25">
      <c r="A61" s="1" t="s">
        <v>382</v>
      </c>
      <c r="B61" s="4" t="s">
        <v>383</v>
      </c>
      <c r="C61" s="5">
        <v>-4.1675570000000004</v>
      </c>
      <c r="D61" s="5">
        <v>-40.952404999999999</v>
      </c>
      <c r="E61" s="4" t="s">
        <v>384</v>
      </c>
      <c r="F61" s="4" t="s">
        <v>385</v>
      </c>
      <c r="G61" s="4" t="s">
        <v>386</v>
      </c>
      <c r="H61" s="4" t="s">
        <v>387</v>
      </c>
      <c r="I61" s="4" t="s">
        <v>101</v>
      </c>
      <c r="J61" s="6" t="s">
        <v>791</v>
      </c>
      <c r="K61" s="6" t="s">
        <v>18</v>
      </c>
    </row>
    <row r="62" spans="1:11" hidden="1" x14ac:dyDescent="0.25">
      <c r="A62" s="1" t="s">
        <v>388</v>
      </c>
      <c r="B62" s="4" t="s">
        <v>389</v>
      </c>
      <c r="C62" s="5">
        <v>-4.0409189999999997</v>
      </c>
      <c r="D62" s="5">
        <v>-40.474586000000002</v>
      </c>
      <c r="E62" s="4" t="s">
        <v>390</v>
      </c>
      <c r="F62" s="4" t="s">
        <v>881</v>
      </c>
      <c r="G62" s="4" t="s">
        <v>880</v>
      </c>
      <c r="H62" s="4" t="s">
        <v>391</v>
      </c>
      <c r="I62" s="4" t="s">
        <v>151</v>
      </c>
      <c r="J62" s="6" t="s">
        <v>791</v>
      </c>
      <c r="K62" s="6" t="s">
        <v>18</v>
      </c>
    </row>
    <row r="63" spans="1:11" x14ac:dyDescent="0.25">
      <c r="A63" s="1" t="s">
        <v>392</v>
      </c>
      <c r="B63" s="4" t="s">
        <v>393</v>
      </c>
      <c r="C63" s="5">
        <v>-3.5272999999999999</v>
      </c>
      <c r="D63" s="5">
        <v>-39.073349999999998</v>
      </c>
      <c r="E63" s="4" t="s">
        <v>272</v>
      </c>
      <c r="F63" s="4" t="s">
        <v>394</v>
      </c>
      <c r="G63" s="4" t="s">
        <v>395</v>
      </c>
      <c r="H63" s="4" t="s">
        <v>396</v>
      </c>
      <c r="I63" s="4" t="s">
        <v>101</v>
      </c>
      <c r="J63" s="6" t="s">
        <v>17</v>
      </c>
      <c r="K63" s="6" t="s">
        <v>18</v>
      </c>
    </row>
    <row r="64" spans="1:11" x14ac:dyDescent="0.25">
      <c r="A64" s="1" t="s">
        <v>397</v>
      </c>
      <c r="B64" s="4" t="s">
        <v>398</v>
      </c>
      <c r="C64" s="5">
        <v>-3.553566</v>
      </c>
      <c r="D64" s="5">
        <v>-38.885983000000003</v>
      </c>
      <c r="E64" s="4" t="s">
        <v>399</v>
      </c>
      <c r="F64" s="4" t="s">
        <v>400</v>
      </c>
      <c r="G64" s="4" t="s">
        <v>401</v>
      </c>
      <c r="H64" s="4" t="s">
        <v>402</v>
      </c>
      <c r="I64" s="4" t="s">
        <v>151</v>
      </c>
      <c r="J64" s="6" t="s">
        <v>17</v>
      </c>
      <c r="K64" s="6" t="s">
        <v>18</v>
      </c>
    </row>
    <row r="65" spans="1:11" hidden="1" x14ac:dyDescent="0.25">
      <c r="A65" s="1" t="s">
        <v>403</v>
      </c>
      <c r="B65" s="4" t="s">
        <v>404</v>
      </c>
      <c r="C65" s="5">
        <v>-3.2705820000000001</v>
      </c>
      <c r="D65" s="5">
        <v>-39.915233000000001</v>
      </c>
      <c r="E65" s="4" t="s">
        <v>405</v>
      </c>
      <c r="F65" s="4" t="s">
        <v>406</v>
      </c>
      <c r="G65" s="4" t="s">
        <v>407</v>
      </c>
      <c r="H65" s="4" t="s">
        <v>408</v>
      </c>
      <c r="I65" s="4" t="s">
        <v>101</v>
      </c>
      <c r="J65" s="6" t="s">
        <v>791</v>
      </c>
      <c r="K65" s="6" t="s">
        <v>18</v>
      </c>
    </row>
    <row r="66" spans="1:11" hidden="1" x14ac:dyDescent="0.25">
      <c r="A66" s="1" t="s">
        <v>409</v>
      </c>
      <c r="B66" s="4" t="s">
        <v>410</v>
      </c>
      <c r="C66" s="5">
        <v>-3.512756</v>
      </c>
      <c r="D66" s="5">
        <v>-39.583770999999999</v>
      </c>
      <c r="E66" s="4" t="s">
        <v>266</v>
      </c>
      <c r="F66" s="4" t="s">
        <v>411</v>
      </c>
      <c r="G66" s="4" t="s">
        <v>412</v>
      </c>
      <c r="H66" s="4" t="s">
        <v>413</v>
      </c>
      <c r="I66" s="4" t="s">
        <v>101</v>
      </c>
      <c r="J66" s="6" t="s">
        <v>791</v>
      </c>
      <c r="K66" s="6" t="s">
        <v>18</v>
      </c>
    </row>
    <row r="67" spans="1:11" hidden="1" x14ac:dyDescent="0.25">
      <c r="A67" s="1" t="s">
        <v>414</v>
      </c>
      <c r="B67" s="4" t="s">
        <v>415</v>
      </c>
      <c r="C67" s="5">
        <v>-3.6566749999999999</v>
      </c>
      <c r="D67" s="5">
        <v>-39.424249000000003</v>
      </c>
      <c r="E67" s="4" t="s">
        <v>416</v>
      </c>
      <c r="F67" s="4" t="s">
        <v>417</v>
      </c>
      <c r="G67" s="4" t="s">
        <v>418</v>
      </c>
      <c r="H67" s="4" t="s">
        <v>419</v>
      </c>
      <c r="I67" s="4" t="s">
        <v>101</v>
      </c>
      <c r="J67" s="6" t="s">
        <v>791</v>
      </c>
      <c r="K67" s="6" t="s">
        <v>18</v>
      </c>
    </row>
    <row r="68" spans="1:11" hidden="1" x14ac:dyDescent="0.25">
      <c r="A68" s="1" t="s">
        <v>420</v>
      </c>
      <c r="B68" s="4" t="s">
        <v>421</v>
      </c>
      <c r="C68" s="5">
        <v>-4.290178</v>
      </c>
      <c r="D68" s="5">
        <v>-38.624884999999999</v>
      </c>
      <c r="E68" s="4" t="s">
        <v>405</v>
      </c>
      <c r="F68" s="4" t="s">
        <v>422</v>
      </c>
      <c r="G68" s="4" t="s">
        <v>423</v>
      </c>
      <c r="H68" s="4" t="s">
        <v>424</v>
      </c>
      <c r="I68" s="4" t="s">
        <v>16</v>
      </c>
      <c r="J68" s="6" t="s">
        <v>791</v>
      </c>
      <c r="K68" s="6" t="s">
        <v>18</v>
      </c>
    </row>
    <row r="69" spans="1:11" hidden="1" x14ac:dyDescent="0.25">
      <c r="A69" s="1" t="s">
        <v>425</v>
      </c>
      <c r="B69" s="4" t="s">
        <v>426</v>
      </c>
      <c r="C69" s="5">
        <v>-4.3755519999999999</v>
      </c>
      <c r="D69" s="5">
        <v>-38.834249999999997</v>
      </c>
      <c r="E69" s="4" t="s">
        <v>229</v>
      </c>
      <c r="F69" s="4" t="s">
        <v>427</v>
      </c>
      <c r="G69" s="4" t="s">
        <v>232</v>
      </c>
      <c r="H69" s="4" t="s">
        <v>428</v>
      </c>
      <c r="I69" s="4" t="s">
        <v>101</v>
      </c>
      <c r="J69" s="6" t="s">
        <v>791</v>
      </c>
      <c r="K69" s="6" t="s">
        <v>18</v>
      </c>
    </row>
    <row r="70" spans="1:11" hidden="1" x14ac:dyDescent="0.25">
      <c r="A70" s="1" t="s">
        <v>429</v>
      </c>
      <c r="B70" s="4" t="s">
        <v>430</v>
      </c>
      <c r="C70" s="5">
        <v>-5.041658</v>
      </c>
      <c r="D70" s="5">
        <v>-37.779488000000001</v>
      </c>
      <c r="E70" s="4" t="s">
        <v>229</v>
      </c>
      <c r="F70" s="4" t="s">
        <v>431</v>
      </c>
      <c r="G70" s="4" t="s">
        <v>432</v>
      </c>
      <c r="H70" s="4" t="s">
        <v>433</v>
      </c>
      <c r="I70" s="4" t="s">
        <v>151</v>
      </c>
      <c r="J70" s="6" t="s">
        <v>791</v>
      </c>
      <c r="K70" s="6" t="s">
        <v>18</v>
      </c>
    </row>
    <row r="71" spans="1:11" hidden="1" x14ac:dyDescent="0.25">
      <c r="A71" s="1" t="s">
        <v>434</v>
      </c>
      <c r="B71" s="4" t="s">
        <v>435</v>
      </c>
      <c r="C71" s="5">
        <v>-5.2738310000000004</v>
      </c>
      <c r="D71" s="5">
        <v>-38.108522000000001</v>
      </c>
      <c r="E71" s="4" t="s">
        <v>436</v>
      </c>
      <c r="F71" s="4" t="s">
        <v>437</v>
      </c>
      <c r="G71" s="4" t="s">
        <v>438</v>
      </c>
      <c r="H71" s="4" t="s">
        <v>439</v>
      </c>
      <c r="I71" s="4" t="s">
        <v>101</v>
      </c>
      <c r="J71" s="6" t="s">
        <v>791</v>
      </c>
      <c r="K71" s="6" t="s">
        <v>18</v>
      </c>
    </row>
    <row r="72" spans="1:11" hidden="1" x14ac:dyDescent="0.25">
      <c r="A72" s="1" t="s">
        <v>440</v>
      </c>
      <c r="B72" s="4" t="s">
        <v>441</v>
      </c>
      <c r="C72" s="5">
        <v>-3.7851759999999999</v>
      </c>
      <c r="D72" s="5">
        <v>-38.696210999999998</v>
      </c>
      <c r="E72" s="4" t="s">
        <v>97</v>
      </c>
      <c r="F72" s="4" t="s">
        <v>442</v>
      </c>
      <c r="G72" s="4" t="s">
        <v>443</v>
      </c>
      <c r="H72" s="4" t="s">
        <v>444</v>
      </c>
      <c r="I72" s="4" t="s">
        <v>101</v>
      </c>
      <c r="J72" s="6" t="s">
        <v>791</v>
      </c>
      <c r="K72" s="6" t="s">
        <v>18</v>
      </c>
    </row>
    <row r="73" spans="1:11" hidden="1" x14ac:dyDescent="0.25">
      <c r="A73" s="1" t="s">
        <v>445</v>
      </c>
      <c r="B73" s="4" t="s">
        <v>446</v>
      </c>
      <c r="C73" s="5">
        <v>-3.133448</v>
      </c>
      <c r="D73" s="5">
        <v>-40.815766000000004</v>
      </c>
      <c r="E73" s="4" t="s">
        <v>235</v>
      </c>
      <c r="F73" s="4" t="s">
        <v>447</v>
      </c>
      <c r="G73" s="4" t="s">
        <v>448</v>
      </c>
      <c r="H73" s="4" t="s">
        <v>449</v>
      </c>
      <c r="I73" s="4" t="s">
        <v>101</v>
      </c>
      <c r="J73" s="6" t="s">
        <v>791</v>
      </c>
      <c r="K73" s="6" t="s">
        <v>18</v>
      </c>
    </row>
    <row r="74" spans="1:11" hidden="1" x14ac:dyDescent="0.25">
      <c r="A74" s="1" t="s">
        <v>450</v>
      </c>
      <c r="B74" s="4" t="s">
        <v>451</v>
      </c>
      <c r="C74" s="5">
        <v>-3.6184599999999998</v>
      </c>
      <c r="D74" s="5">
        <v>-40.352547000000001</v>
      </c>
      <c r="E74" s="4" t="s">
        <v>235</v>
      </c>
      <c r="F74" s="4" t="s">
        <v>452</v>
      </c>
      <c r="G74" s="4" t="s">
        <v>453</v>
      </c>
      <c r="H74" s="4" t="s">
        <v>454</v>
      </c>
      <c r="I74" s="4" t="s">
        <v>101</v>
      </c>
      <c r="J74" s="6" t="s">
        <v>791</v>
      </c>
      <c r="K74" s="6" t="s">
        <v>18</v>
      </c>
    </row>
    <row r="75" spans="1:11" hidden="1" x14ac:dyDescent="0.25">
      <c r="A75" s="1" t="s">
        <v>455</v>
      </c>
      <c r="B75" s="4" t="s">
        <v>456</v>
      </c>
      <c r="C75" s="5">
        <v>-3.9919730000000002</v>
      </c>
      <c r="D75" s="5">
        <v>-40.083334000000001</v>
      </c>
      <c r="E75" s="4" t="s">
        <v>235</v>
      </c>
      <c r="F75" s="4" t="s">
        <v>877</v>
      </c>
      <c r="G75" s="4" t="s">
        <v>878</v>
      </c>
      <c r="H75" s="4" t="s">
        <v>879</v>
      </c>
      <c r="I75" s="4" t="s">
        <v>151</v>
      </c>
      <c r="J75" s="6" t="s">
        <v>791</v>
      </c>
      <c r="K75" s="6" t="s">
        <v>18</v>
      </c>
    </row>
    <row r="76" spans="1:11" hidden="1" x14ac:dyDescent="0.25">
      <c r="A76" s="1" t="s">
        <v>457</v>
      </c>
      <c r="B76" s="4" t="s">
        <v>458</v>
      </c>
      <c r="C76" s="5">
        <v>-5.6781480000000002</v>
      </c>
      <c r="D76" s="5">
        <v>-39.430067000000001</v>
      </c>
      <c r="E76" s="4" t="s">
        <v>197</v>
      </c>
      <c r="F76" s="4" t="s">
        <v>824</v>
      </c>
      <c r="G76" s="4" t="s">
        <v>825</v>
      </c>
      <c r="H76" s="4" t="s">
        <v>826</v>
      </c>
      <c r="I76" s="4" t="s">
        <v>101</v>
      </c>
      <c r="J76" s="6" t="s">
        <v>791</v>
      </c>
      <c r="K76" s="6" t="s">
        <v>18</v>
      </c>
    </row>
    <row r="77" spans="1:11" hidden="1" x14ac:dyDescent="0.25">
      <c r="A77" s="1" t="s">
        <v>461</v>
      </c>
      <c r="B77" s="4" t="s">
        <v>462</v>
      </c>
      <c r="C77" s="5">
        <v>-3.3702869999999998</v>
      </c>
      <c r="D77" s="5">
        <v>-40.723520000000001</v>
      </c>
      <c r="E77" s="4" t="s">
        <v>463</v>
      </c>
      <c r="F77" s="4" t="s">
        <v>464</v>
      </c>
      <c r="G77" s="4" t="s">
        <v>465</v>
      </c>
      <c r="H77" s="4" t="s">
        <v>466</v>
      </c>
      <c r="I77" s="4" t="s">
        <v>101</v>
      </c>
      <c r="J77" s="6" t="s">
        <v>791</v>
      </c>
      <c r="K77" s="6" t="s">
        <v>18</v>
      </c>
    </row>
    <row r="78" spans="1:11" hidden="1" x14ac:dyDescent="0.25">
      <c r="A78" s="1" t="s">
        <v>467</v>
      </c>
      <c r="B78" s="4" t="s">
        <v>468</v>
      </c>
      <c r="C78" s="5">
        <v>-3.5688710000000001</v>
      </c>
      <c r="D78" s="5">
        <v>-40.636719999999997</v>
      </c>
      <c r="E78" s="4" t="s">
        <v>463</v>
      </c>
      <c r="F78" s="4" t="s">
        <v>469</v>
      </c>
      <c r="G78" s="4" t="s">
        <v>470</v>
      </c>
      <c r="H78" s="4" t="s">
        <v>377</v>
      </c>
      <c r="I78" s="4" t="s">
        <v>101</v>
      </c>
      <c r="J78" s="6" t="s">
        <v>791</v>
      </c>
      <c r="K78" s="6" t="s">
        <v>18</v>
      </c>
    </row>
    <row r="79" spans="1:11" hidden="1" x14ac:dyDescent="0.25">
      <c r="A79" s="1" t="s">
        <v>471</v>
      </c>
      <c r="B79" s="4" t="s">
        <v>472</v>
      </c>
      <c r="C79" s="5">
        <v>-4.7611049999999997</v>
      </c>
      <c r="D79" s="5">
        <v>-39.487011000000003</v>
      </c>
      <c r="E79" s="4" t="s">
        <v>473</v>
      </c>
      <c r="F79" s="4" t="s">
        <v>474</v>
      </c>
      <c r="G79" s="4" t="s">
        <v>475</v>
      </c>
      <c r="H79" s="4" t="s">
        <v>476</v>
      </c>
      <c r="I79" s="4" t="s">
        <v>101</v>
      </c>
      <c r="J79" s="6" t="s">
        <v>791</v>
      </c>
      <c r="K79" s="6" t="s">
        <v>18</v>
      </c>
    </row>
    <row r="80" spans="1:11" hidden="1" x14ac:dyDescent="0.25">
      <c r="A80" s="1" t="s">
        <v>152</v>
      </c>
      <c r="B80" s="4" t="s">
        <v>153</v>
      </c>
      <c r="C80" s="5">
        <v>-5.0822029999999998</v>
      </c>
      <c r="D80" s="5">
        <v>-39.054245999999999</v>
      </c>
      <c r="E80" s="4" t="s">
        <v>154</v>
      </c>
      <c r="F80" s="4" t="s">
        <v>155</v>
      </c>
      <c r="G80" s="4" t="s">
        <v>156</v>
      </c>
      <c r="H80" s="4" t="s">
        <v>157</v>
      </c>
      <c r="I80" s="4" t="s">
        <v>101</v>
      </c>
      <c r="J80" s="6" t="s">
        <v>791</v>
      </c>
      <c r="K80" s="6" t="s">
        <v>18</v>
      </c>
    </row>
    <row r="81" spans="1:11" hidden="1" x14ac:dyDescent="0.25">
      <c r="A81" s="1" t="s">
        <v>477</v>
      </c>
      <c r="B81" s="4" t="s">
        <v>478</v>
      </c>
      <c r="C81" s="5">
        <v>-5.4022300000000003</v>
      </c>
      <c r="D81" s="5">
        <v>-38.571371999999997</v>
      </c>
      <c r="E81" s="4" t="s">
        <v>479</v>
      </c>
      <c r="F81" s="4" t="s">
        <v>480</v>
      </c>
      <c r="G81" s="4" t="s">
        <v>481</v>
      </c>
      <c r="H81" s="4" t="s">
        <v>482</v>
      </c>
      <c r="I81" s="4" t="s">
        <v>101</v>
      </c>
      <c r="J81" s="6" t="s">
        <v>791</v>
      </c>
      <c r="K81" s="6" t="s">
        <v>18</v>
      </c>
    </row>
    <row r="82" spans="1:11" hidden="1" x14ac:dyDescent="0.25">
      <c r="A82" s="1" t="s">
        <v>483</v>
      </c>
      <c r="B82" s="4" t="s">
        <v>484</v>
      </c>
      <c r="C82" s="5">
        <v>-5.7358440000000002</v>
      </c>
      <c r="D82" s="5">
        <v>-39.026054000000002</v>
      </c>
      <c r="E82" s="4" t="s">
        <v>136</v>
      </c>
      <c r="F82" s="4" t="s">
        <v>837</v>
      </c>
      <c r="G82" s="4" t="s">
        <v>486</v>
      </c>
      <c r="H82" s="4" t="s">
        <v>487</v>
      </c>
      <c r="I82" s="4" t="s">
        <v>101</v>
      </c>
      <c r="J82" s="6" t="s">
        <v>791</v>
      </c>
      <c r="K82" s="6" t="s">
        <v>18</v>
      </c>
    </row>
    <row r="83" spans="1:11" hidden="1" x14ac:dyDescent="0.25">
      <c r="A83" s="1" t="s">
        <v>488</v>
      </c>
      <c r="B83" s="4" t="s">
        <v>489</v>
      </c>
      <c r="C83" s="5">
        <v>-5.6845759999999999</v>
      </c>
      <c r="D83" s="5">
        <v>-39.195397</v>
      </c>
      <c r="E83" s="4" t="s">
        <v>136</v>
      </c>
      <c r="F83" s="4" t="s">
        <v>490</v>
      </c>
      <c r="G83" s="4" t="s">
        <v>487</v>
      </c>
      <c r="H83" s="4" t="s">
        <v>838</v>
      </c>
      <c r="I83" s="4" t="s">
        <v>101</v>
      </c>
      <c r="J83" s="6" t="s">
        <v>791</v>
      </c>
      <c r="K83" s="6" t="s">
        <v>18</v>
      </c>
    </row>
    <row r="84" spans="1:11" hidden="1" x14ac:dyDescent="0.25">
      <c r="A84" s="1" t="s">
        <v>491</v>
      </c>
      <c r="B84" s="4" t="s">
        <v>492</v>
      </c>
      <c r="C84" s="5">
        <v>-5.0848469999999999</v>
      </c>
      <c r="D84" s="5">
        <v>-38.009757</v>
      </c>
      <c r="E84" s="4" t="s">
        <v>493</v>
      </c>
      <c r="F84" s="4" t="s">
        <v>494</v>
      </c>
      <c r="G84" s="4" t="s">
        <v>495</v>
      </c>
      <c r="H84" s="4" t="s">
        <v>496</v>
      </c>
      <c r="I84" s="4" t="s">
        <v>101</v>
      </c>
      <c r="J84" s="6" t="s">
        <v>791</v>
      </c>
      <c r="K84" s="6" t="s">
        <v>18</v>
      </c>
    </row>
    <row r="85" spans="1:11" hidden="1" x14ac:dyDescent="0.25">
      <c r="A85" s="1" t="s">
        <v>497</v>
      </c>
      <c r="B85" s="4" t="s">
        <v>498</v>
      </c>
      <c r="C85" s="5">
        <v>-5.2461500000000001</v>
      </c>
      <c r="D85" s="5">
        <v>-38.214409000000003</v>
      </c>
      <c r="E85" s="4" t="s">
        <v>493</v>
      </c>
      <c r="F85" s="4" t="s">
        <v>499</v>
      </c>
      <c r="G85" s="4" t="s">
        <v>500</v>
      </c>
      <c r="H85" s="4" t="s">
        <v>501</v>
      </c>
      <c r="I85" s="4" t="s">
        <v>101</v>
      </c>
      <c r="J85" s="6" t="s">
        <v>791</v>
      </c>
      <c r="K85" s="6" t="s">
        <v>18</v>
      </c>
    </row>
    <row r="86" spans="1:11" hidden="1" x14ac:dyDescent="0.25">
      <c r="A86" s="1" t="s">
        <v>158</v>
      </c>
      <c r="B86" s="4" t="s">
        <v>159</v>
      </c>
      <c r="C86" s="5">
        <v>-5.2102599999999999</v>
      </c>
      <c r="D86" s="5">
        <v>-39.316634000000001</v>
      </c>
      <c r="E86" s="4" t="s">
        <v>76</v>
      </c>
      <c r="F86" s="4" t="s">
        <v>160</v>
      </c>
      <c r="G86" s="4" t="s">
        <v>161</v>
      </c>
      <c r="H86" s="4" t="s">
        <v>162</v>
      </c>
      <c r="I86" s="4" t="s">
        <v>151</v>
      </c>
      <c r="J86" s="6" t="s">
        <v>791</v>
      </c>
      <c r="K86" s="6" t="s">
        <v>18</v>
      </c>
    </row>
    <row r="87" spans="1:11" hidden="1" x14ac:dyDescent="0.25">
      <c r="A87" s="1" t="s">
        <v>502</v>
      </c>
      <c r="B87" s="4" t="s">
        <v>503</v>
      </c>
      <c r="C87" s="5">
        <v>-3.9736150000000001</v>
      </c>
      <c r="D87" s="5">
        <v>-40.704729</v>
      </c>
      <c r="E87" s="4" t="s">
        <v>375</v>
      </c>
      <c r="F87" s="4" t="s">
        <v>504</v>
      </c>
      <c r="G87" s="4" t="s">
        <v>505</v>
      </c>
      <c r="H87" s="4" t="s">
        <v>506</v>
      </c>
      <c r="I87" s="4" t="s">
        <v>151</v>
      </c>
      <c r="J87" s="6" t="s">
        <v>791</v>
      </c>
      <c r="K87" s="6" t="s">
        <v>18</v>
      </c>
    </row>
    <row r="88" spans="1:11" x14ac:dyDescent="0.25">
      <c r="A88" s="1" t="s">
        <v>507</v>
      </c>
      <c r="B88" s="4" t="s">
        <v>508</v>
      </c>
      <c r="C88" s="5">
        <v>-3.962866</v>
      </c>
      <c r="D88" s="5">
        <v>-38.357016000000002</v>
      </c>
      <c r="E88" s="4" t="s">
        <v>509</v>
      </c>
      <c r="F88" s="4" t="s">
        <v>510</v>
      </c>
      <c r="G88" s="4" t="s">
        <v>511</v>
      </c>
      <c r="H88" s="4" t="s">
        <v>512</v>
      </c>
      <c r="I88" s="4" t="s">
        <v>101</v>
      </c>
      <c r="J88" s="6" t="s">
        <v>17</v>
      </c>
      <c r="K88" s="6" t="s">
        <v>18</v>
      </c>
    </row>
    <row r="89" spans="1:11" x14ac:dyDescent="0.25">
      <c r="A89" s="1" t="s">
        <v>513</v>
      </c>
      <c r="B89" s="4" t="s">
        <v>514</v>
      </c>
      <c r="C89" s="5">
        <v>-4.0425329999999997</v>
      </c>
      <c r="D89" s="5">
        <v>-38.206499999999998</v>
      </c>
      <c r="E89" s="4" t="s">
        <v>515</v>
      </c>
      <c r="F89" s="4" t="s">
        <v>516</v>
      </c>
      <c r="G89" s="4" t="s">
        <v>517</v>
      </c>
      <c r="H89" s="4" t="s">
        <v>518</v>
      </c>
      <c r="I89" s="4" t="s">
        <v>151</v>
      </c>
      <c r="J89" s="6" t="s">
        <v>17</v>
      </c>
      <c r="K89" s="6" t="s">
        <v>18</v>
      </c>
    </row>
    <row r="90" spans="1:11" hidden="1" x14ac:dyDescent="0.25">
      <c r="A90" s="1" t="s">
        <v>163</v>
      </c>
      <c r="B90" s="4" t="s">
        <v>164</v>
      </c>
      <c r="C90" s="5">
        <v>-4.8596729999999999</v>
      </c>
      <c r="D90" s="5">
        <v>-39.052987999999999</v>
      </c>
      <c r="E90" s="4" t="s">
        <v>165</v>
      </c>
      <c r="F90" s="4" t="s">
        <v>166</v>
      </c>
      <c r="G90" s="4" t="s">
        <v>167</v>
      </c>
      <c r="H90" s="4" t="s">
        <v>168</v>
      </c>
      <c r="I90" s="4" t="s">
        <v>151</v>
      </c>
      <c r="J90" s="6" t="s">
        <v>791</v>
      </c>
      <c r="K90" s="6" t="s">
        <v>18</v>
      </c>
    </row>
    <row r="91" spans="1:11" hidden="1" x14ac:dyDescent="0.25">
      <c r="A91" s="1" t="s">
        <v>519</v>
      </c>
      <c r="B91" s="4" t="s">
        <v>520</v>
      </c>
      <c r="C91" s="5">
        <v>-4.4447369999999999</v>
      </c>
      <c r="D91" s="5">
        <v>-38.662745999999999</v>
      </c>
      <c r="E91" s="4" t="s">
        <v>521</v>
      </c>
      <c r="F91" s="4" t="s">
        <v>522</v>
      </c>
      <c r="G91" s="4" t="s">
        <v>523</v>
      </c>
      <c r="H91" s="4" t="s">
        <v>524</v>
      </c>
      <c r="I91" s="4" t="s">
        <v>101</v>
      </c>
      <c r="J91" s="6" t="s">
        <v>791</v>
      </c>
      <c r="K91" s="6" t="s">
        <v>18</v>
      </c>
    </row>
    <row r="92" spans="1:11" hidden="1" x14ac:dyDescent="0.25">
      <c r="A92" s="1" t="s">
        <v>525</v>
      </c>
      <c r="B92" s="4" t="s">
        <v>526</v>
      </c>
      <c r="C92" s="5">
        <v>-5.1705110000000003</v>
      </c>
      <c r="D92" s="5">
        <v>-40.708150000000003</v>
      </c>
      <c r="E92" s="4" t="s">
        <v>527</v>
      </c>
      <c r="F92" s="4" t="s">
        <v>528</v>
      </c>
      <c r="G92" s="4" t="s">
        <v>529</v>
      </c>
      <c r="H92" s="4" t="s">
        <v>530</v>
      </c>
      <c r="I92" s="4" t="s">
        <v>101</v>
      </c>
      <c r="J92" s="6" t="s">
        <v>791</v>
      </c>
      <c r="K92" s="6" t="s">
        <v>18</v>
      </c>
    </row>
    <row r="93" spans="1:11" hidden="1" x14ac:dyDescent="0.25">
      <c r="A93" s="1" t="s">
        <v>531</v>
      </c>
      <c r="B93" s="4" t="s">
        <v>532</v>
      </c>
      <c r="C93" s="5">
        <v>-4.5701270000000003</v>
      </c>
      <c r="D93" s="5">
        <v>-37.734988999999999</v>
      </c>
      <c r="E93" s="4" t="s">
        <v>479</v>
      </c>
      <c r="F93" s="4" t="s">
        <v>533</v>
      </c>
      <c r="G93" s="4" t="s">
        <v>534</v>
      </c>
      <c r="H93" s="4" t="s">
        <v>535</v>
      </c>
      <c r="I93" s="4" t="s">
        <v>101</v>
      </c>
      <c r="J93" s="6" t="s">
        <v>791</v>
      </c>
      <c r="K93" s="6" t="s">
        <v>18</v>
      </c>
    </row>
    <row r="94" spans="1:11" x14ac:dyDescent="0.25">
      <c r="A94" s="1" t="s">
        <v>536</v>
      </c>
      <c r="B94" s="4" t="s">
        <v>537</v>
      </c>
      <c r="C94" s="5">
        <v>-5.1207330000000004</v>
      </c>
      <c r="D94" s="5">
        <v>-39.752000000000002</v>
      </c>
      <c r="E94" s="4" t="s">
        <v>356</v>
      </c>
      <c r="F94" s="4" t="s">
        <v>538</v>
      </c>
      <c r="G94" s="4" t="s">
        <v>539</v>
      </c>
      <c r="H94" s="4" t="s">
        <v>540</v>
      </c>
      <c r="I94" s="4" t="s">
        <v>101</v>
      </c>
      <c r="J94" s="6" t="s">
        <v>882</v>
      </c>
      <c r="K94" s="6" t="s">
        <v>18</v>
      </c>
    </row>
    <row r="95" spans="1:11" hidden="1" x14ac:dyDescent="0.25">
      <c r="A95" s="1" t="s">
        <v>169</v>
      </c>
      <c r="B95" s="4" t="s">
        <v>170</v>
      </c>
      <c r="C95" s="5">
        <v>-5.1756060000000002</v>
      </c>
      <c r="D95" s="5">
        <v>-39.305515999999997</v>
      </c>
      <c r="E95" s="4" t="s">
        <v>197</v>
      </c>
      <c r="F95" s="4" t="s">
        <v>839</v>
      </c>
      <c r="G95" s="4" t="s">
        <v>132</v>
      </c>
      <c r="H95" s="4" t="s">
        <v>840</v>
      </c>
      <c r="I95" s="4" t="s">
        <v>151</v>
      </c>
      <c r="J95" s="6" t="s">
        <v>791</v>
      </c>
      <c r="K95" s="6" t="s">
        <v>18</v>
      </c>
    </row>
    <row r="96" spans="1:11" hidden="1" x14ac:dyDescent="0.25">
      <c r="A96" s="1" t="s">
        <v>541</v>
      </c>
      <c r="B96" s="4" t="s">
        <v>542</v>
      </c>
      <c r="C96" s="5">
        <v>-3.6776800000000001</v>
      </c>
      <c r="D96" s="25">
        <v>-38.859572</v>
      </c>
      <c r="E96" s="4" t="s">
        <v>42</v>
      </c>
      <c r="F96" s="4" t="s">
        <v>543</v>
      </c>
      <c r="G96" s="4" t="s">
        <v>299</v>
      </c>
      <c r="H96" s="4" t="s">
        <v>544</v>
      </c>
      <c r="I96" s="4" t="s">
        <v>101</v>
      </c>
      <c r="J96" s="6" t="s">
        <v>791</v>
      </c>
      <c r="K96" s="6" t="s">
        <v>178</v>
      </c>
    </row>
    <row r="97" spans="1:11" hidden="1" x14ac:dyDescent="0.25">
      <c r="A97" s="1" t="s">
        <v>545</v>
      </c>
      <c r="B97" s="4" t="s">
        <v>546</v>
      </c>
      <c r="C97" s="5">
        <v>-3.6978119999999999</v>
      </c>
      <c r="D97" s="5">
        <v>-40.307443999999997</v>
      </c>
      <c r="E97" s="4" t="s">
        <v>547</v>
      </c>
      <c r="F97" s="4" t="s">
        <v>548</v>
      </c>
      <c r="G97" s="4" t="s">
        <v>549</v>
      </c>
      <c r="H97" s="4" t="s">
        <v>550</v>
      </c>
      <c r="I97" s="4" t="s">
        <v>151</v>
      </c>
      <c r="J97" s="6" t="s">
        <v>791</v>
      </c>
      <c r="K97" s="6" t="s">
        <v>18</v>
      </c>
    </row>
    <row r="98" spans="1:11" hidden="1" x14ac:dyDescent="0.25">
      <c r="A98" s="1" t="s">
        <v>551</v>
      </c>
      <c r="B98" s="4" t="s">
        <v>552</v>
      </c>
      <c r="C98" s="5">
        <v>-5.2113269999999998</v>
      </c>
      <c r="D98" s="5">
        <v>-40.696823000000002</v>
      </c>
      <c r="E98" s="4" t="s">
        <v>208</v>
      </c>
      <c r="F98" s="4" t="s">
        <v>553</v>
      </c>
      <c r="G98" s="4" t="s">
        <v>554</v>
      </c>
      <c r="H98" s="4" t="s">
        <v>555</v>
      </c>
      <c r="I98" s="4" t="s">
        <v>101</v>
      </c>
      <c r="J98" s="6" t="s">
        <v>791</v>
      </c>
      <c r="K98" s="6" t="s">
        <v>18</v>
      </c>
    </row>
    <row r="99" spans="1:11" hidden="1" x14ac:dyDescent="0.25">
      <c r="A99" s="1" t="s">
        <v>556</v>
      </c>
      <c r="B99" s="4" t="s">
        <v>557</v>
      </c>
      <c r="C99" s="5">
        <v>-4.3822749999999999</v>
      </c>
      <c r="D99" s="5">
        <v>-40.712611000000003</v>
      </c>
      <c r="E99" s="4" t="s">
        <v>208</v>
      </c>
      <c r="F99" s="4" t="s">
        <v>558</v>
      </c>
      <c r="G99" s="4" t="s">
        <v>559</v>
      </c>
      <c r="H99" s="4" t="s">
        <v>560</v>
      </c>
      <c r="I99" s="4" t="s">
        <v>151</v>
      </c>
      <c r="J99" s="6" t="s">
        <v>791</v>
      </c>
      <c r="K99" s="6" t="s">
        <v>18</v>
      </c>
    </row>
    <row r="100" spans="1:11" x14ac:dyDescent="0.25">
      <c r="A100" s="1" t="s">
        <v>561</v>
      </c>
      <c r="B100" s="4" t="s">
        <v>562</v>
      </c>
      <c r="C100" s="5">
        <v>-6.0296659999999997</v>
      </c>
      <c r="D100" s="5">
        <v>-38.340949999999999</v>
      </c>
      <c r="E100" s="4" t="s">
        <v>563</v>
      </c>
      <c r="F100" s="4" t="s">
        <v>564</v>
      </c>
      <c r="G100" s="4" t="s">
        <v>565</v>
      </c>
      <c r="H100" s="4" t="s">
        <v>566</v>
      </c>
      <c r="I100" s="4" t="s">
        <v>101</v>
      </c>
      <c r="J100" s="6" t="s">
        <v>17</v>
      </c>
      <c r="K100" s="6" t="s">
        <v>18</v>
      </c>
    </row>
    <row r="101" spans="1:11" hidden="1" x14ac:dyDescent="0.25">
      <c r="A101" s="1" t="s">
        <v>567</v>
      </c>
      <c r="B101" s="4" t="s">
        <v>568</v>
      </c>
      <c r="C101" s="5">
        <v>-5.2495240000000001</v>
      </c>
      <c r="D101" s="5">
        <v>-38.492610999999997</v>
      </c>
      <c r="E101" s="4" t="s">
        <v>479</v>
      </c>
      <c r="F101" s="4" t="s">
        <v>569</v>
      </c>
      <c r="G101" s="4" t="s">
        <v>570</v>
      </c>
      <c r="H101" s="4" t="s">
        <v>571</v>
      </c>
      <c r="I101" s="4" t="s">
        <v>151</v>
      </c>
      <c r="J101" s="6" t="s">
        <v>791</v>
      </c>
      <c r="K101" s="6" t="s">
        <v>18</v>
      </c>
    </row>
    <row r="102" spans="1:11" x14ac:dyDescent="0.25">
      <c r="A102" s="1" t="s">
        <v>572</v>
      </c>
      <c r="B102" s="4" t="s">
        <v>573</v>
      </c>
      <c r="C102" s="5">
        <v>-4.2260499999999999</v>
      </c>
      <c r="D102" s="5">
        <v>-38.112082999999998</v>
      </c>
      <c r="E102" s="4" t="s">
        <v>574</v>
      </c>
      <c r="F102" s="4" t="s">
        <v>575</v>
      </c>
      <c r="G102" s="4" t="s">
        <v>576</v>
      </c>
      <c r="H102" s="4" t="s">
        <v>577</v>
      </c>
      <c r="I102" s="4" t="s">
        <v>151</v>
      </c>
      <c r="J102" s="6" t="s">
        <v>17</v>
      </c>
      <c r="K102" s="6" t="s">
        <v>178</v>
      </c>
    </row>
    <row r="103" spans="1:11" x14ac:dyDescent="0.25">
      <c r="A103" s="1" t="s">
        <v>578</v>
      </c>
      <c r="B103" s="4" t="s">
        <v>579</v>
      </c>
      <c r="C103" s="5">
        <v>-4.2283499999999998</v>
      </c>
      <c r="D103" s="5">
        <v>-38.112932999999998</v>
      </c>
      <c r="E103" s="4" t="s">
        <v>580</v>
      </c>
      <c r="F103" s="4" t="s">
        <v>581</v>
      </c>
      <c r="G103" s="4" t="s">
        <v>73</v>
      </c>
      <c r="H103" s="4" t="s">
        <v>582</v>
      </c>
      <c r="I103" s="4" t="s">
        <v>101</v>
      </c>
      <c r="J103" s="6" t="s">
        <v>17</v>
      </c>
      <c r="K103" s="6" t="s">
        <v>18</v>
      </c>
    </row>
    <row r="104" spans="1:11" hidden="1" x14ac:dyDescent="0.25">
      <c r="A104" s="1" t="s">
        <v>583</v>
      </c>
      <c r="B104" s="4" t="s">
        <v>584</v>
      </c>
      <c r="C104" s="5">
        <v>-4.5799000000000003</v>
      </c>
      <c r="D104" s="5">
        <v>-37.851894999999999</v>
      </c>
      <c r="E104" s="4" t="s">
        <v>142</v>
      </c>
      <c r="F104" s="4" t="s">
        <v>585</v>
      </c>
      <c r="G104" s="4" t="s">
        <v>586</v>
      </c>
      <c r="H104" s="4" t="s">
        <v>587</v>
      </c>
      <c r="I104" s="4" t="s">
        <v>101</v>
      </c>
      <c r="J104" s="6" t="s">
        <v>791</v>
      </c>
      <c r="K104" s="6" t="s">
        <v>18</v>
      </c>
    </row>
    <row r="105" spans="1:11" x14ac:dyDescent="0.25">
      <c r="A105" s="1" t="s">
        <v>588</v>
      </c>
      <c r="B105" s="4" t="s">
        <v>589</v>
      </c>
      <c r="C105" s="5">
        <v>-3.9187500000000002</v>
      </c>
      <c r="D105" s="5">
        <v>-38.507182999999998</v>
      </c>
      <c r="E105" s="4" t="s">
        <v>104</v>
      </c>
      <c r="F105" s="4" t="s">
        <v>590</v>
      </c>
      <c r="G105" s="4" t="s">
        <v>591</v>
      </c>
      <c r="H105" s="4" t="s">
        <v>592</v>
      </c>
      <c r="I105" s="4" t="s">
        <v>101</v>
      </c>
      <c r="J105" s="6" t="s">
        <v>17</v>
      </c>
      <c r="K105" s="6" t="s">
        <v>178</v>
      </c>
    </row>
    <row r="106" spans="1:11" x14ac:dyDescent="0.25">
      <c r="A106" s="1" t="s">
        <v>172</v>
      </c>
      <c r="B106" s="4" t="s">
        <v>173</v>
      </c>
      <c r="C106" s="5">
        <v>-3.4879829999999998</v>
      </c>
      <c r="D106" s="5">
        <v>-39.140065999999997</v>
      </c>
      <c r="E106" s="4" t="s">
        <v>174</v>
      </c>
      <c r="F106" s="4" t="s">
        <v>175</v>
      </c>
      <c r="G106" s="4" t="s">
        <v>176</v>
      </c>
      <c r="H106" s="4" t="s">
        <v>177</v>
      </c>
      <c r="I106" s="4" t="s">
        <v>101</v>
      </c>
      <c r="J106" s="6" t="s">
        <v>17</v>
      </c>
      <c r="K106" s="6" t="s">
        <v>178</v>
      </c>
    </row>
    <row r="107" spans="1:11" hidden="1" x14ac:dyDescent="0.25">
      <c r="A107" s="1" t="s">
        <v>179</v>
      </c>
      <c r="B107" s="4" t="s">
        <v>180</v>
      </c>
      <c r="C107" s="5">
        <v>-2.9143889999999999</v>
      </c>
      <c r="D107" s="5">
        <v>-40.170302</v>
      </c>
      <c r="E107" s="4" t="s">
        <v>174</v>
      </c>
      <c r="F107" s="4" t="s">
        <v>181</v>
      </c>
      <c r="G107" s="4" t="s">
        <v>182</v>
      </c>
      <c r="H107" s="4" t="s">
        <v>183</v>
      </c>
      <c r="I107" s="4" t="s">
        <v>101</v>
      </c>
      <c r="J107" s="6" t="s">
        <v>791</v>
      </c>
      <c r="K107" s="6" t="s">
        <v>18</v>
      </c>
    </row>
    <row r="108" spans="1:11" hidden="1" x14ac:dyDescent="0.25">
      <c r="A108" s="1" t="s">
        <v>184</v>
      </c>
      <c r="B108" s="4" t="s">
        <v>185</v>
      </c>
      <c r="C108" s="5">
        <v>-3.0483189999999998</v>
      </c>
      <c r="D108" s="5">
        <v>-41.245891</v>
      </c>
      <c r="E108" s="4" t="s">
        <v>174</v>
      </c>
      <c r="F108" s="4" t="s">
        <v>186</v>
      </c>
      <c r="G108" s="4" t="s">
        <v>187</v>
      </c>
      <c r="H108" s="4" t="s">
        <v>188</v>
      </c>
      <c r="I108" s="4" t="s">
        <v>151</v>
      </c>
      <c r="J108" s="6" t="s">
        <v>791</v>
      </c>
      <c r="K108" s="6" t="s">
        <v>18</v>
      </c>
    </row>
    <row r="109" spans="1:11" hidden="1" x14ac:dyDescent="0.25">
      <c r="A109" s="1" t="s">
        <v>189</v>
      </c>
      <c r="B109" s="4" t="s">
        <v>190</v>
      </c>
      <c r="C109" s="5">
        <v>-5.0728489999999997</v>
      </c>
      <c r="D109" s="5">
        <v>-38.384563</v>
      </c>
      <c r="E109" s="4" t="s">
        <v>191</v>
      </c>
      <c r="F109" s="4" t="s">
        <v>192</v>
      </c>
      <c r="G109" s="4" t="s">
        <v>193</v>
      </c>
      <c r="H109" s="4" t="s">
        <v>194</v>
      </c>
      <c r="I109" s="4" t="s">
        <v>151</v>
      </c>
      <c r="J109" s="6" t="s">
        <v>791</v>
      </c>
      <c r="K109" s="6" t="s">
        <v>18</v>
      </c>
    </row>
    <row r="110" spans="1:11" hidden="1" x14ac:dyDescent="0.25">
      <c r="A110" s="1" t="s">
        <v>195</v>
      </c>
      <c r="B110" s="4" t="s">
        <v>196</v>
      </c>
      <c r="C110" s="5">
        <v>-5.2116600000000002</v>
      </c>
      <c r="D110" s="5">
        <v>-39.312789000000002</v>
      </c>
      <c r="E110" s="4" t="s">
        <v>197</v>
      </c>
      <c r="F110" s="4" t="s">
        <v>198</v>
      </c>
      <c r="G110" s="4" t="s">
        <v>199</v>
      </c>
      <c r="H110" s="4" t="s">
        <v>200</v>
      </c>
      <c r="I110" s="4" t="s">
        <v>151</v>
      </c>
      <c r="J110" s="6" t="s">
        <v>791</v>
      </c>
      <c r="K110" s="6" t="s">
        <v>18</v>
      </c>
    </row>
    <row r="111" spans="1:11" hidden="1" x14ac:dyDescent="0.25">
      <c r="A111" s="1" t="s">
        <v>593</v>
      </c>
      <c r="B111" s="4" t="s">
        <v>594</v>
      </c>
      <c r="C111" s="5">
        <v>-3.7752400000000002</v>
      </c>
      <c r="D111" s="5">
        <v>-40.496578999999997</v>
      </c>
      <c r="E111" s="4" t="s">
        <v>595</v>
      </c>
      <c r="F111" s="4" t="s">
        <v>596</v>
      </c>
      <c r="G111" s="4" t="s">
        <v>597</v>
      </c>
      <c r="H111" s="4" t="s">
        <v>598</v>
      </c>
      <c r="I111" s="4" t="s">
        <v>101</v>
      </c>
      <c r="J111" s="6" t="s">
        <v>791</v>
      </c>
      <c r="K111" s="6" t="s">
        <v>18</v>
      </c>
    </row>
    <row r="112" spans="1:11" hidden="1" x14ac:dyDescent="0.25">
      <c r="A112" s="1" t="s">
        <v>599</v>
      </c>
      <c r="B112" s="4" t="s">
        <v>600</v>
      </c>
      <c r="C112" s="5">
        <v>-3.9414410000000002</v>
      </c>
      <c r="D112" s="5">
        <v>-40.889654999999998</v>
      </c>
      <c r="E112" s="4" t="s">
        <v>208</v>
      </c>
      <c r="F112" s="4" t="s">
        <v>601</v>
      </c>
      <c r="G112" s="4" t="s">
        <v>602</v>
      </c>
      <c r="H112" s="4" t="s">
        <v>603</v>
      </c>
      <c r="I112" s="4" t="s">
        <v>101</v>
      </c>
      <c r="J112" s="6" t="s">
        <v>791</v>
      </c>
      <c r="K112" s="6" t="s">
        <v>18</v>
      </c>
    </row>
    <row r="113" spans="1:11" hidden="1" x14ac:dyDescent="0.25">
      <c r="A113" s="1" t="s">
        <v>604</v>
      </c>
      <c r="B113" s="4" t="s">
        <v>605</v>
      </c>
      <c r="C113" s="5">
        <v>-4.7911549999999998</v>
      </c>
      <c r="D113" s="5">
        <v>-40.827958000000002</v>
      </c>
      <c r="E113" s="4" t="s">
        <v>606</v>
      </c>
      <c r="F113" s="4" t="s">
        <v>607</v>
      </c>
      <c r="G113" s="4" t="s">
        <v>608</v>
      </c>
      <c r="H113" s="4" t="s">
        <v>609</v>
      </c>
      <c r="I113" s="4" t="s">
        <v>101</v>
      </c>
      <c r="J113" s="6" t="s">
        <v>791</v>
      </c>
      <c r="K113" s="6" t="s">
        <v>18</v>
      </c>
    </row>
    <row r="114" spans="1:11" hidden="1" x14ac:dyDescent="0.25">
      <c r="A114" s="1" t="s">
        <v>610</v>
      </c>
      <c r="B114" s="4" t="s">
        <v>611</v>
      </c>
      <c r="C114" s="5">
        <v>-3.4859019999999998</v>
      </c>
      <c r="D114" s="5">
        <v>-39.523645000000002</v>
      </c>
      <c r="E114" s="4" t="s">
        <v>405</v>
      </c>
      <c r="F114" s="4" t="s">
        <v>612</v>
      </c>
      <c r="G114" s="4" t="s">
        <v>613</v>
      </c>
      <c r="H114" s="4" t="s">
        <v>614</v>
      </c>
      <c r="I114" s="4" t="s">
        <v>101</v>
      </c>
      <c r="J114" s="6" t="s">
        <v>791</v>
      </c>
      <c r="K114" s="6" t="s">
        <v>18</v>
      </c>
    </row>
    <row r="115" spans="1:11" x14ac:dyDescent="0.25">
      <c r="A115" s="1" t="s">
        <v>615</v>
      </c>
      <c r="B115" s="4" t="s">
        <v>616</v>
      </c>
      <c r="C115" s="5">
        <v>-4.5871829999999996</v>
      </c>
      <c r="D115" s="5">
        <v>-38.620182999999997</v>
      </c>
      <c r="E115" s="4" t="s">
        <v>617</v>
      </c>
      <c r="F115" s="4" t="s">
        <v>618</v>
      </c>
      <c r="G115" s="4" t="s">
        <v>619</v>
      </c>
      <c r="H115" s="4" t="s">
        <v>620</v>
      </c>
      <c r="I115" s="4" t="s">
        <v>101</v>
      </c>
      <c r="J115" s="6" t="s">
        <v>17</v>
      </c>
      <c r="K115" s="6" t="s">
        <v>18</v>
      </c>
    </row>
    <row r="116" spans="1:11" hidden="1" x14ac:dyDescent="0.25">
      <c r="A116" s="1" t="s">
        <v>621</v>
      </c>
      <c r="B116" s="4" t="s">
        <v>622</v>
      </c>
      <c r="C116" s="5">
        <v>-3.5105249999999999</v>
      </c>
      <c r="D116" s="5">
        <v>-40.357357</v>
      </c>
      <c r="E116" s="4" t="s">
        <v>235</v>
      </c>
      <c r="F116" s="4" t="s">
        <v>623</v>
      </c>
      <c r="G116" s="4" t="s">
        <v>624</v>
      </c>
      <c r="H116" s="4" t="s">
        <v>625</v>
      </c>
      <c r="I116" s="4" t="s">
        <v>151</v>
      </c>
      <c r="J116" s="6" t="s">
        <v>791</v>
      </c>
      <c r="K116" s="6" t="s">
        <v>18</v>
      </c>
    </row>
    <row r="117" spans="1:11" hidden="1" x14ac:dyDescent="0.25">
      <c r="A117" s="1" t="s">
        <v>626</v>
      </c>
      <c r="B117" s="4" t="s">
        <v>627</v>
      </c>
      <c r="C117" s="5">
        <v>-3.1338309999999998</v>
      </c>
      <c r="D117" s="5">
        <v>-40.838026999999997</v>
      </c>
      <c r="E117" s="4" t="s">
        <v>463</v>
      </c>
      <c r="F117" s="4" t="s">
        <v>628</v>
      </c>
      <c r="G117" s="4" t="s">
        <v>629</v>
      </c>
      <c r="H117" s="4" t="s">
        <v>630</v>
      </c>
      <c r="I117" s="4" t="s">
        <v>101</v>
      </c>
      <c r="J117" s="6" t="s">
        <v>791</v>
      </c>
      <c r="K117" s="6" t="s">
        <v>18</v>
      </c>
    </row>
    <row r="118" spans="1:11" hidden="1" x14ac:dyDescent="0.25">
      <c r="A118" s="1" t="s">
        <v>631</v>
      </c>
      <c r="B118" s="4" t="s">
        <v>632</v>
      </c>
      <c r="C118" s="5">
        <v>-5.0453950000000001</v>
      </c>
      <c r="D118" s="5">
        <v>-37.773105999999999</v>
      </c>
      <c r="E118" s="4" t="s">
        <v>493</v>
      </c>
      <c r="F118" s="4" t="s">
        <v>633</v>
      </c>
      <c r="G118" s="4" t="s">
        <v>634</v>
      </c>
      <c r="H118" s="4" t="s">
        <v>635</v>
      </c>
      <c r="I118" s="4" t="s">
        <v>151</v>
      </c>
      <c r="J118" s="6" t="s">
        <v>791</v>
      </c>
      <c r="K118" s="6" t="s">
        <v>18</v>
      </c>
    </row>
    <row r="119" spans="1:11" hidden="1" x14ac:dyDescent="0.25">
      <c r="A119" s="1" t="s">
        <v>201</v>
      </c>
      <c r="B119" s="4" t="s">
        <v>202</v>
      </c>
      <c r="C119" s="5">
        <v>-5.1876949999999997</v>
      </c>
      <c r="D119" s="5">
        <v>-39.270508</v>
      </c>
      <c r="E119" s="4" t="s">
        <v>76</v>
      </c>
      <c r="F119" s="4" t="s">
        <v>203</v>
      </c>
      <c r="G119" s="4" t="s">
        <v>204</v>
      </c>
      <c r="H119" s="4" t="s">
        <v>205</v>
      </c>
      <c r="I119" s="4" t="s">
        <v>151</v>
      </c>
      <c r="J119" s="6" t="s">
        <v>791</v>
      </c>
      <c r="K119" s="6" t="s">
        <v>18</v>
      </c>
    </row>
    <row r="120" spans="1:11" hidden="1" x14ac:dyDescent="0.25">
      <c r="A120" s="1" t="s">
        <v>636</v>
      </c>
      <c r="B120" s="4" t="s">
        <v>637</v>
      </c>
      <c r="C120" s="5">
        <v>-5.5281140000000004</v>
      </c>
      <c r="D120" s="5">
        <v>-39.517207999999997</v>
      </c>
      <c r="E120" s="4" t="s">
        <v>76</v>
      </c>
      <c r="F120" s="4" t="s">
        <v>638</v>
      </c>
      <c r="G120" s="4" t="s">
        <v>639</v>
      </c>
      <c r="H120" s="4" t="s">
        <v>640</v>
      </c>
      <c r="I120" s="4" t="s">
        <v>101</v>
      </c>
      <c r="J120" s="6" t="s">
        <v>791</v>
      </c>
      <c r="K120" s="6" t="s">
        <v>18</v>
      </c>
    </row>
    <row r="121" spans="1:11" x14ac:dyDescent="0.25">
      <c r="A121" s="1" t="s">
        <v>641</v>
      </c>
      <c r="B121" s="4" t="s">
        <v>642</v>
      </c>
      <c r="C121" s="5">
        <v>-4.338266</v>
      </c>
      <c r="D121" s="5">
        <v>-38.475866000000003</v>
      </c>
      <c r="E121" s="4" t="s">
        <v>104</v>
      </c>
      <c r="F121" s="4" t="s">
        <v>643</v>
      </c>
      <c r="G121" s="4" t="s">
        <v>644</v>
      </c>
      <c r="H121" s="4" t="s">
        <v>645</v>
      </c>
      <c r="I121" s="4" t="s">
        <v>101</v>
      </c>
      <c r="J121" s="6" t="s">
        <v>17</v>
      </c>
      <c r="K121" s="6" t="s">
        <v>18</v>
      </c>
    </row>
    <row r="122" spans="1:11" hidden="1" x14ac:dyDescent="0.25">
      <c r="A122" s="1" t="s">
        <v>646</v>
      </c>
      <c r="B122" s="4" t="s">
        <v>647</v>
      </c>
      <c r="C122" s="5">
        <v>-4.2869089999999996</v>
      </c>
      <c r="D122" s="5">
        <v>-38.934477999999999</v>
      </c>
      <c r="E122" s="4" t="s">
        <v>36</v>
      </c>
      <c r="F122" s="4" t="s">
        <v>648</v>
      </c>
      <c r="G122" s="4" t="s">
        <v>649</v>
      </c>
      <c r="H122" s="4" t="s">
        <v>83</v>
      </c>
      <c r="I122" s="4" t="s">
        <v>151</v>
      </c>
      <c r="J122" s="6" t="s">
        <v>791</v>
      </c>
      <c r="K122" s="6" t="s">
        <v>18</v>
      </c>
    </row>
    <row r="123" spans="1:11" x14ac:dyDescent="0.25">
      <c r="A123" s="1" t="s">
        <v>650</v>
      </c>
      <c r="B123" s="4" t="s">
        <v>651</v>
      </c>
      <c r="C123" s="5">
        <v>-3.372366</v>
      </c>
      <c r="D123" s="5">
        <v>-39.299633</v>
      </c>
      <c r="E123" s="4" t="s">
        <v>174</v>
      </c>
      <c r="F123" s="4" t="s">
        <v>652</v>
      </c>
      <c r="G123" s="4" t="s">
        <v>653</v>
      </c>
      <c r="H123" s="4" t="s">
        <v>654</v>
      </c>
      <c r="I123" s="4" t="s">
        <v>151</v>
      </c>
      <c r="J123" s="6" t="s">
        <v>17</v>
      </c>
      <c r="K123" s="6" t="s">
        <v>178</v>
      </c>
    </row>
    <row r="124" spans="1:11" hidden="1" x14ac:dyDescent="0.25">
      <c r="A124" s="1" t="s">
        <v>655</v>
      </c>
      <c r="B124" s="4" t="s">
        <v>656</v>
      </c>
      <c r="C124" s="5">
        <v>-2.8945319999999999</v>
      </c>
      <c r="D124" s="5">
        <v>-40.225693999999997</v>
      </c>
      <c r="E124" s="4" t="s">
        <v>174</v>
      </c>
      <c r="F124" s="4" t="s">
        <v>657</v>
      </c>
      <c r="G124" s="4" t="s">
        <v>658</v>
      </c>
      <c r="H124" s="4" t="s">
        <v>659</v>
      </c>
      <c r="I124" s="4" t="s">
        <v>101</v>
      </c>
      <c r="J124" s="6" t="s">
        <v>791</v>
      </c>
      <c r="K124" s="6" t="s">
        <v>18</v>
      </c>
    </row>
    <row r="125" spans="1:11" hidden="1" x14ac:dyDescent="0.25">
      <c r="A125" s="1" t="s">
        <v>660</v>
      </c>
      <c r="B125" s="4" t="s">
        <v>661</v>
      </c>
      <c r="C125" s="5">
        <v>-4.5809509999999998</v>
      </c>
      <c r="D125" s="5">
        <v>-37.849564000000001</v>
      </c>
      <c r="E125" s="4" t="s">
        <v>25</v>
      </c>
      <c r="F125" s="4" t="s">
        <v>662</v>
      </c>
      <c r="G125" s="4" t="s">
        <v>663</v>
      </c>
      <c r="H125" s="4" t="s">
        <v>27</v>
      </c>
      <c r="I125" s="4" t="s">
        <v>101</v>
      </c>
      <c r="J125" s="6" t="s">
        <v>791</v>
      </c>
      <c r="K125" s="6" t="s">
        <v>18</v>
      </c>
    </row>
    <row r="126" spans="1:11" x14ac:dyDescent="0.25">
      <c r="A126" s="1" t="s">
        <v>664</v>
      </c>
      <c r="B126" s="4" t="s">
        <v>665</v>
      </c>
      <c r="C126" s="5">
        <v>-4.0460330000000004</v>
      </c>
      <c r="D126" s="5">
        <v>-38.206032999999998</v>
      </c>
      <c r="E126" s="4" t="s">
        <v>191</v>
      </c>
      <c r="F126" s="4" t="s">
        <v>666</v>
      </c>
      <c r="G126" s="4" t="s">
        <v>667</v>
      </c>
      <c r="H126" s="4" t="s">
        <v>668</v>
      </c>
      <c r="I126" s="4" t="s">
        <v>101</v>
      </c>
      <c r="J126" s="6" t="s">
        <v>17</v>
      </c>
      <c r="K126" s="6" t="s">
        <v>18</v>
      </c>
    </row>
    <row r="127" spans="1:11" hidden="1" x14ac:dyDescent="0.25">
      <c r="A127" s="1" t="s">
        <v>669</v>
      </c>
      <c r="B127" s="4" t="s">
        <v>670</v>
      </c>
      <c r="C127" s="5">
        <v>-5.4253080000000002</v>
      </c>
      <c r="D127" s="5">
        <v>-38.218938999999999</v>
      </c>
      <c r="E127" s="4" t="s">
        <v>191</v>
      </c>
      <c r="F127" s="4" t="s">
        <v>671</v>
      </c>
      <c r="G127" s="4" t="s">
        <v>672</v>
      </c>
      <c r="H127" s="4" t="s">
        <v>673</v>
      </c>
      <c r="I127" s="4" t="s">
        <v>151</v>
      </c>
      <c r="J127" s="6" t="s">
        <v>791</v>
      </c>
      <c r="K127" s="6" t="s">
        <v>18</v>
      </c>
    </row>
    <row r="128" spans="1:11" x14ac:dyDescent="0.25">
      <c r="A128" s="1" t="s">
        <v>674</v>
      </c>
      <c r="B128" s="4" t="s">
        <v>675</v>
      </c>
      <c r="C128" s="5">
        <v>-5.3889829999999996</v>
      </c>
      <c r="D128" s="5">
        <v>-38.911766</v>
      </c>
      <c r="E128" s="4" t="s">
        <v>676</v>
      </c>
      <c r="F128" s="4" t="s">
        <v>677</v>
      </c>
      <c r="G128" s="4" t="s">
        <v>678</v>
      </c>
      <c r="H128" s="4" t="s">
        <v>679</v>
      </c>
      <c r="I128" s="4" t="s">
        <v>101</v>
      </c>
      <c r="J128" s="6" t="s">
        <v>882</v>
      </c>
      <c r="K128" s="6" t="s">
        <v>18</v>
      </c>
    </row>
    <row r="129" spans="1:11" x14ac:dyDescent="0.25">
      <c r="A129" s="1" t="s">
        <v>680</v>
      </c>
      <c r="B129" s="4" t="s">
        <v>681</v>
      </c>
      <c r="C129" s="5">
        <v>-5.9808000000000003</v>
      </c>
      <c r="D129" s="5">
        <v>-38.884349999999998</v>
      </c>
      <c r="E129" s="4" t="s">
        <v>676</v>
      </c>
      <c r="F129" s="4" t="s">
        <v>682</v>
      </c>
      <c r="G129" s="4" t="s">
        <v>683</v>
      </c>
      <c r="H129" s="4" t="s">
        <v>684</v>
      </c>
      <c r="I129" s="4" t="s">
        <v>101</v>
      </c>
      <c r="J129" s="6" t="s">
        <v>17</v>
      </c>
      <c r="K129" s="6" t="s">
        <v>18</v>
      </c>
    </row>
    <row r="130" spans="1:11" hidden="1" x14ac:dyDescent="0.25">
      <c r="A130" s="1" t="s">
        <v>685</v>
      </c>
      <c r="B130" s="4" t="s">
        <v>686</v>
      </c>
      <c r="C130" s="5">
        <v>-3.6789869999999998</v>
      </c>
      <c r="D130" s="5">
        <v>-38.909970999999999</v>
      </c>
      <c r="E130" s="4" t="s">
        <v>687</v>
      </c>
      <c r="F130" s="4" t="s">
        <v>688</v>
      </c>
      <c r="G130" s="4" t="s">
        <v>689</v>
      </c>
      <c r="H130" s="4" t="s">
        <v>690</v>
      </c>
      <c r="I130" s="4" t="s">
        <v>101</v>
      </c>
      <c r="J130" s="6" t="s">
        <v>791</v>
      </c>
      <c r="K130" s="6" t="s">
        <v>18</v>
      </c>
    </row>
    <row r="131" spans="1:11" hidden="1" x14ac:dyDescent="0.25">
      <c r="A131" s="1" t="s">
        <v>691</v>
      </c>
      <c r="B131" s="4" t="s">
        <v>692</v>
      </c>
      <c r="C131" s="5">
        <v>-4.1621629999999996</v>
      </c>
      <c r="D131" s="5">
        <v>-39.152894000000003</v>
      </c>
      <c r="E131" s="4" t="s">
        <v>693</v>
      </c>
      <c r="F131" s="4" t="s">
        <v>694</v>
      </c>
      <c r="G131" s="4" t="s">
        <v>284</v>
      </c>
      <c r="H131" s="4" t="s">
        <v>167</v>
      </c>
      <c r="I131" s="4" t="s">
        <v>101</v>
      </c>
      <c r="J131" s="6" t="s">
        <v>791</v>
      </c>
      <c r="K131" s="6" t="s">
        <v>18</v>
      </c>
    </row>
    <row r="132" spans="1:11" x14ac:dyDescent="0.25">
      <c r="A132" s="1" t="s">
        <v>695</v>
      </c>
      <c r="B132" s="4" t="s">
        <v>696</v>
      </c>
      <c r="C132" s="5">
        <v>-3.3707829999999999</v>
      </c>
      <c r="D132" s="5">
        <v>-39.293933000000003</v>
      </c>
      <c r="E132" s="4" t="s">
        <v>697</v>
      </c>
      <c r="F132" s="4" t="s">
        <v>698</v>
      </c>
      <c r="G132" s="4" t="s">
        <v>699</v>
      </c>
      <c r="H132" s="4" t="s">
        <v>700</v>
      </c>
      <c r="I132" s="4" t="s">
        <v>101</v>
      </c>
      <c r="J132" s="6" t="s">
        <v>17</v>
      </c>
      <c r="K132" s="6" t="s">
        <v>18</v>
      </c>
    </row>
    <row r="133" spans="1:11" hidden="1" x14ac:dyDescent="0.25">
      <c r="A133" s="1" t="s">
        <v>701</v>
      </c>
      <c r="B133" s="4" t="s">
        <v>702</v>
      </c>
      <c r="C133" s="5">
        <v>-5.8117999999999999</v>
      </c>
      <c r="D133" s="5">
        <v>-39.429194000000003</v>
      </c>
      <c r="E133" s="4" t="s">
        <v>197</v>
      </c>
      <c r="F133" s="4" t="s">
        <v>703</v>
      </c>
      <c r="G133" s="4" t="s">
        <v>704</v>
      </c>
      <c r="H133" s="4" t="s">
        <v>705</v>
      </c>
      <c r="I133" s="4" t="s">
        <v>101</v>
      </c>
      <c r="J133" s="6" t="s">
        <v>791</v>
      </c>
      <c r="K133" s="6" t="s">
        <v>18</v>
      </c>
    </row>
    <row r="134" spans="1:11" x14ac:dyDescent="0.25">
      <c r="A134" s="1" t="s">
        <v>706</v>
      </c>
      <c r="B134" s="4" t="s">
        <v>707</v>
      </c>
      <c r="C134" s="5">
        <v>-3.304783</v>
      </c>
      <c r="D134" s="5">
        <v>-39.515383</v>
      </c>
      <c r="E134" s="4" t="s">
        <v>174</v>
      </c>
      <c r="F134" s="4" t="s">
        <v>708</v>
      </c>
      <c r="G134" s="4" t="s">
        <v>709</v>
      </c>
      <c r="H134" s="4" t="s">
        <v>710</v>
      </c>
      <c r="I134" s="4" t="s">
        <v>101</v>
      </c>
      <c r="J134" s="6" t="s">
        <v>17</v>
      </c>
      <c r="K134" s="6" t="s">
        <v>18</v>
      </c>
    </row>
    <row r="135" spans="1:11" x14ac:dyDescent="0.25">
      <c r="A135" s="1" t="s">
        <v>711</v>
      </c>
      <c r="B135" s="4" t="s">
        <v>712</v>
      </c>
      <c r="C135" s="5">
        <v>-5.1408160000000001</v>
      </c>
      <c r="D135" s="5">
        <v>-39.719665999999997</v>
      </c>
      <c r="E135" s="4" t="s">
        <v>266</v>
      </c>
      <c r="F135" s="4" t="s">
        <v>713</v>
      </c>
      <c r="G135" s="4" t="s">
        <v>714</v>
      </c>
      <c r="H135" s="4" t="s">
        <v>715</v>
      </c>
      <c r="I135" s="4" t="s">
        <v>101</v>
      </c>
      <c r="J135" s="6" t="s">
        <v>882</v>
      </c>
      <c r="K135" s="6" t="s">
        <v>18</v>
      </c>
    </row>
    <row r="136" spans="1:11" hidden="1" x14ac:dyDescent="0.25">
      <c r="A136" s="1" t="s">
        <v>716</v>
      </c>
      <c r="B136" s="4" t="s">
        <v>717</v>
      </c>
      <c r="C136" s="5">
        <v>-3.4763199999999999</v>
      </c>
      <c r="D136" s="5">
        <v>-39.631295999999999</v>
      </c>
      <c r="E136" s="4" t="s">
        <v>48</v>
      </c>
      <c r="F136" s="4" t="s">
        <v>718</v>
      </c>
      <c r="G136" s="4" t="s">
        <v>613</v>
      </c>
      <c r="H136" s="4" t="s">
        <v>719</v>
      </c>
      <c r="I136" s="4" t="s">
        <v>101</v>
      </c>
      <c r="J136" s="6" t="s">
        <v>791</v>
      </c>
      <c r="K136" s="6" t="s">
        <v>18</v>
      </c>
    </row>
    <row r="137" spans="1:11" hidden="1" x14ac:dyDescent="0.25">
      <c r="A137" s="1" t="s">
        <v>720</v>
      </c>
      <c r="B137" s="4" t="s">
        <v>721</v>
      </c>
      <c r="C137" s="5">
        <v>-3.5627770000000001</v>
      </c>
      <c r="D137" s="5">
        <v>-39.970638999999998</v>
      </c>
      <c r="E137" s="4" t="s">
        <v>241</v>
      </c>
      <c r="F137" s="4" t="s">
        <v>722</v>
      </c>
      <c r="G137" s="4" t="s">
        <v>723</v>
      </c>
      <c r="H137" s="4" t="s">
        <v>724</v>
      </c>
      <c r="I137" s="4" t="s">
        <v>151</v>
      </c>
      <c r="J137" s="6" t="s">
        <v>791</v>
      </c>
      <c r="K137" s="6" t="s">
        <v>18</v>
      </c>
    </row>
    <row r="138" spans="1:11" hidden="1" x14ac:dyDescent="0.25">
      <c r="A138" s="1" t="s">
        <v>725</v>
      </c>
      <c r="B138" s="4" t="s">
        <v>726</v>
      </c>
      <c r="C138" s="5">
        <v>-5.4055679999999997</v>
      </c>
      <c r="D138" s="5">
        <v>-40.298172000000001</v>
      </c>
      <c r="E138" s="4" t="s">
        <v>136</v>
      </c>
      <c r="F138" s="4" t="s">
        <v>727</v>
      </c>
      <c r="G138" s="4" t="s">
        <v>728</v>
      </c>
      <c r="H138" s="4" t="s">
        <v>729</v>
      </c>
      <c r="I138" s="4" t="s">
        <v>101</v>
      </c>
      <c r="J138" s="6" t="s">
        <v>791</v>
      </c>
      <c r="K138" s="6" t="s">
        <v>18</v>
      </c>
    </row>
    <row r="139" spans="1:11" hidden="1" x14ac:dyDescent="0.25">
      <c r="A139" s="1" t="s">
        <v>730</v>
      </c>
      <c r="B139" s="4" t="s">
        <v>731</v>
      </c>
      <c r="C139" s="5">
        <v>-2.9586229999999998</v>
      </c>
      <c r="D139" s="5">
        <v>-39.903604000000001</v>
      </c>
      <c r="E139" s="4" t="s">
        <v>174</v>
      </c>
      <c r="F139" s="4" t="s">
        <v>732</v>
      </c>
      <c r="G139" s="4" t="s">
        <v>733</v>
      </c>
      <c r="H139" s="4" t="s">
        <v>734</v>
      </c>
      <c r="I139" s="4" t="s">
        <v>151</v>
      </c>
      <c r="J139" s="6" t="s">
        <v>791</v>
      </c>
      <c r="K139" s="6" t="s">
        <v>18</v>
      </c>
    </row>
    <row r="140" spans="1:11" hidden="1" x14ac:dyDescent="0.25">
      <c r="A140" s="1" t="s">
        <v>735</v>
      </c>
      <c r="B140" s="4" t="s">
        <v>736</v>
      </c>
      <c r="C140" s="5">
        <v>-2.92225</v>
      </c>
      <c r="D140" s="5">
        <v>-40.120244</v>
      </c>
      <c r="E140" s="4" t="s">
        <v>547</v>
      </c>
      <c r="F140" s="4" t="s">
        <v>737</v>
      </c>
      <c r="G140" s="4" t="s">
        <v>738</v>
      </c>
      <c r="H140" s="4" t="s">
        <v>739</v>
      </c>
      <c r="I140" s="4" t="s">
        <v>101</v>
      </c>
      <c r="J140" s="6" t="s">
        <v>791</v>
      </c>
      <c r="K140" s="6" t="s">
        <v>18</v>
      </c>
    </row>
    <row r="141" spans="1:11" hidden="1" x14ac:dyDescent="0.25">
      <c r="A141" s="1" t="s">
        <v>740</v>
      </c>
      <c r="B141" s="4" t="s">
        <v>741</v>
      </c>
      <c r="C141" s="5">
        <v>-3.697114</v>
      </c>
      <c r="D141" s="5">
        <v>-40.304628999999998</v>
      </c>
      <c r="E141" s="4" t="s">
        <v>48</v>
      </c>
      <c r="F141" s="4" t="s">
        <v>742</v>
      </c>
      <c r="G141" s="4" t="s">
        <v>51</v>
      </c>
      <c r="H141" s="4" t="s">
        <v>743</v>
      </c>
      <c r="I141" s="4" t="s">
        <v>151</v>
      </c>
      <c r="J141" s="6" t="s">
        <v>791</v>
      </c>
      <c r="K141" s="6" t="s">
        <v>18</v>
      </c>
    </row>
    <row r="142" spans="1:11" hidden="1" x14ac:dyDescent="0.25">
      <c r="A142" s="1" t="s">
        <v>744</v>
      </c>
      <c r="B142" s="4" t="s">
        <v>745</v>
      </c>
      <c r="C142" s="5">
        <v>-3.7188409999999998</v>
      </c>
      <c r="D142" s="5">
        <v>-40.335732</v>
      </c>
      <c r="E142" s="4" t="s">
        <v>58</v>
      </c>
      <c r="F142" s="4" t="s">
        <v>746</v>
      </c>
      <c r="G142" s="4" t="s">
        <v>747</v>
      </c>
      <c r="H142" s="4" t="s">
        <v>748</v>
      </c>
      <c r="I142" s="4" t="s">
        <v>101</v>
      </c>
      <c r="J142" s="6" t="s">
        <v>791</v>
      </c>
      <c r="K142" s="6" t="s">
        <v>18</v>
      </c>
    </row>
    <row r="143" spans="1:11" hidden="1" x14ac:dyDescent="0.25">
      <c r="A143" s="1" t="s">
        <v>749</v>
      </c>
      <c r="B143" s="4" t="s">
        <v>750</v>
      </c>
      <c r="C143" s="5">
        <v>-4.0396409999999996</v>
      </c>
      <c r="D143" s="5">
        <v>-40.473917999999998</v>
      </c>
      <c r="E143" s="4" t="s">
        <v>595</v>
      </c>
      <c r="F143" s="4" t="s">
        <v>751</v>
      </c>
      <c r="G143" s="4" t="s">
        <v>598</v>
      </c>
      <c r="H143" s="4" t="s">
        <v>752</v>
      </c>
      <c r="I143" s="4" t="s">
        <v>151</v>
      </c>
      <c r="J143" s="6" t="s">
        <v>791</v>
      </c>
      <c r="K143" s="6" t="s">
        <v>18</v>
      </c>
    </row>
    <row r="144" spans="1:11" hidden="1" x14ac:dyDescent="0.25">
      <c r="A144" s="1" t="s">
        <v>753</v>
      </c>
      <c r="B144" s="4" t="s">
        <v>754</v>
      </c>
      <c r="C144" s="5">
        <v>-4.1137740000000003</v>
      </c>
      <c r="D144" s="5">
        <v>-40.863508000000003</v>
      </c>
      <c r="E144" s="4" t="s">
        <v>208</v>
      </c>
      <c r="F144" s="4" t="s">
        <v>755</v>
      </c>
      <c r="G144" s="4" t="s">
        <v>756</v>
      </c>
      <c r="H144" s="4" t="s">
        <v>757</v>
      </c>
      <c r="I144" s="4" t="s">
        <v>101</v>
      </c>
      <c r="J144" s="6" t="s">
        <v>791</v>
      </c>
      <c r="K144" s="6" t="s">
        <v>18</v>
      </c>
    </row>
    <row r="145" spans="1:11" hidden="1" x14ac:dyDescent="0.25">
      <c r="A145" s="1" t="s">
        <v>758</v>
      </c>
      <c r="B145" s="4" t="s">
        <v>759</v>
      </c>
      <c r="C145" s="5">
        <v>-4.5583349999999996</v>
      </c>
      <c r="D145" s="5">
        <v>-40.729585999999998</v>
      </c>
      <c r="E145" s="4" t="s">
        <v>606</v>
      </c>
      <c r="F145" s="4" t="s">
        <v>760</v>
      </c>
      <c r="G145" s="4" t="s">
        <v>761</v>
      </c>
      <c r="H145" s="4" t="s">
        <v>762</v>
      </c>
      <c r="I145" s="4" t="s">
        <v>101</v>
      </c>
      <c r="J145" s="6" t="s">
        <v>791</v>
      </c>
      <c r="K145" s="6" t="s">
        <v>18</v>
      </c>
    </row>
    <row r="146" spans="1:11" hidden="1" x14ac:dyDescent="0.25">
      <c r="A146" s="1" t="s">
        <v>763</v>
      </c>
      <c r="B146" s="4" t="s">
        <v>764</v>
      </c>
      <c r="C146" s="5">
        <v>-5.1463979999999996</v>
      </c>
      <c r="D146" s="5">
        <v>-40.670636000000002</v>
      </c>
      <c r="E146" s="4" t="s">
        <v>606</v>
      </c>
      <c r="F146" s="4" t="s">
        <v>765</v>
      </c>
      <c r="G146" s="4" t="s">
        <v>766</v>
      </c>
      <c r="H146" s="4" t="s">
        <v>767</v>
      </c>
      <c r="I146" s="4" t="s">
        <v>101</v>
      </c>
      <c r="J146" s="6" t="s">
        <v>791</v>
      </c>
      <c r="K146" s="6" t="s">
        <v>18</v>
      </c>
    </row>
    <row r="147" spans="1:11" hidden="1" x14ac:dyDescent="0.25">
      <c r="A147" s="1" t="s">
        <v>768</v>
      </c>
      <c r="B147" s="4" t="s">
        <v>769</v>
      </c>
      <c r="C147" s="5">
        <v>-4.1471960000000001</v>
      </c>
      <c r="D147" s="5">
        <v>-40.945563999999997</v>
      </c>
      <c r="E147" s="4" t="s">
        <v>770</v>
      </c>
      <c r="F147" s="4" t="s">
        <v>771</v>
      </c>
      <c r="G147" s="4" t="s">
        <v>772</v>
      </c>
      <c r="H147" s="4" t="s">
        <v>773</v>
      </c>
      <c r="I147" s="4" t="s">
        <v>101</v>
      </c>
      <c r="J147" s="6" t="s">
        <v>791</v>
      </c>
      <c r="K147" s="6" t="s">
        <v>306</v>
      </c>
    </row>
    <row r="148" spans="1:11" hidden="1" x14ac:dyDescent="0.25">
      <c r="A148" s="1" t="s">
        <v>774</v>
      </c>
      <c r="B148" s="4" t="s">
        <v>775</v>
      </c>
      <c r="C148" s="5">
        <v>-3.521487</v>
      </c>
      <c r="D148" s="5">
        <v>-40.330056999999996</v>
      </c>
      <c r="E148" s="4" t="s">
        <v>776</v>
      </c>
      <c r="F148" s="4" t="s">
        <v>777</v>
      </c>
      <c r="G148" s="4" t="s">
        <v>778</v>
      </c>
      <c r="H148" s="4" t="s">
        <v>779</v>
      </c>
      <c r="I148" s="4" t="s">
        <v>151</v>
      </c>
      <c r="J148" s="6" t="s">
        <v>791</v>
      </c>
      <c r="K148" s="6" t="s">
        <v>18</v>
      </c>
    </row>
    <row r="149" spans="1:11" hidden="1" x14ac:dyDescent="0.25">
      <c r="A149" s="1" t="s">
        <v>780</v>
      </c>
      <c r="B149" s="4" t="s">
        <v>781</v>
      </c>
      <c r="C149" s="5">
        <v>-3.5194079999999999</v>
      </c>
      <c r="D149" s="5">
        <v>-40.361950999999998</v>
      </c>
      <c r="E149" s="4" t="s">
        <v>776</v>
      </c>
      <c r="F149" s="4" t="s">
        <v>782</v>
      </c>
      <c r="G149" s="4" t="s">
        <v>783</v>
      </c>
      <c r="H149" s="4" t="s">
        <v>784</v>
      </c>
      <c r="I149" s="4" t="s">
        <v>101</v>
      </c>
      <c r="J149" s="6" t="s">
        <v>791</v>
      </c>
      <c r="K149" s="6" t="s">
        <v>18</v>
      </c>
    </row>
    <row r="150" spans="1:11" hidden="1" x14ac:dyDescent="0.25">
      <c r="A150" s="1" t="s">
        <v>785</v>
      </c>
      <c r="B150" s="4" t="s">
        <v>786</v>
      </c>
      <c r="C150" s="5">
        <v>-3.552886</v>
      </c>
      <c r="D150" s="5">
        <v>-40.663702000000001</v>
      </c>
      <c r="E150" s="4" t="s">
        <v>48</v>
      </c>
      <c r="F150" s="4" t="s">
        <v>787</v>
      </c>
      <c r="G150" s="4" t="s">
        <v>788</v>
      </c>
      <c r="H150" s="4" t="s">
        <v>789</v>
      </c>
      <c r="I150" s="4" t="s">
        <v>151</v>
      </c>
      <c r="J150" s="6" t="s">
        <v>791</v>
      </c>
      <c r="K150" s="6" t="s">
        <v>18</v>
      </c>
    </row>
  </sheetData>
  <autoFilter ref="A1:K150" xr:uid="{4DA12617-6B17-4A0E-9E79-EBA6E19B3138}">
    <filterColumn colId="9">
      <filters>
        <filter val="NÃO"/>
      </filters>
    </filterColumn>
  </autoFilter>
  <sortState xmlns:xlrd2="http://schemas.microsoft.com/office/spreadsheetml/2017/richdata2" ref="A2:K150">
    <sortCondition ref="B1:B150"/>
  </sortState>
  <pageMargins left="0.51181102362204722" right="0.51181102362204722" top="0.78740157480314965" bottom="0.78740157480314965" header="0.31496062992125984" footer="0.31496062992125984"/>
  <pageSetup paperSize="9" scale="6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8A476-0271-4A84-BE9E-901865A86FD3}">
  <sheetPr filterMode="1"/>
  <dimension ref="A1:AC157"/>
  <sheetViews>
    <sheetView tabSelected="1" zoomScale="85" zoomScaleNormal="85" workbookViewId="0">
      <selection activeCell="B160" sqref="B160"/>
    </sheetView>
  </sheetViews>
  <sheetFormatPr defaultRowHeight="15" x14ac:dyDescent="0.25"/>
  <cols>
    <col min="1" max="1" width="9.140625" style="15"/>
    <col min="2" max="2" width="11" customWidth="1"/>
    <col min="3" max="3" width="19" customWidth="1"/>
    <col min="4" max="4" width="19.140625" style="23" bestFit="1" customWidth="1"/>
    <col min="5" max="5" width="19.5703125" style="23" bestFit="1" customWidth="1"/>
    <col min="6" max="6" width="17.85546875" customWidth="1"/>
    <col min="7" max="7" width="17.42578125" style="16" customWidth="1"/>
    <col min="8" max="10" width="9.42578125" style="16" customWidth="1"/>
    <col min="11" max="11" width="19.85546875" customWidth="1"/>
    <col min="12" max="12" width="18.85546875" customWidth="1"/>
    <col min="13" max="13" width="10.140625" customWidth="1"/>
    <col min="14" max="23" width="9.42578125" customWidth="1"/>
    <col min="24" max="27" width="8.5703125" customWidth="1"/>
    <col min="28" max="29" width="9.42578125" customWidth="1"/>
  </cols>
  <sheetData>
    <row r="1" spans="1:29" ht="15" customHeight="1" x14ac:dyDescent="0.25">
      <c r="A1" s="30" t="s">
        <v>1</v>
      </c>
      <c r="B1" s="31" t="s">
        <v>4</v>
      </c>
      <c r="C1" s="31" t="s">
        <v>5</v>
      </c>
      <c r="D1" s="32" t="s">
        <v>792</v>
      </c>
      <c r="E1" s="32"/>
      <c r="F1" s="33" t="s">
        <v>793</v>
      </c>
      <c r="G1" s="33"/>
      <c r="H1" s="29" t="s">
        <v>794</v>
      </c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7" t="s">
        <v>795</v>
      </c>
    </row>
    <row r="2" spans="1:29" ht="15" customHeight="1" x14ac:dyDescent="0.25">
      <c r="A2" s="30"/>
      <c r="B2" s="31"/>
      <c r="C2" s="31"/>
      <c r="D2" s="32"/>
      <c r="E2" s="32"/>
      <c r="F2" s="33"/>
      <c r="G2" s="33"/>
      <c r="H2" s="28" t="s">
        <v>796</v>
      </c>
      <c r="I2" s="28"/>
      <c r="J2" s="28"/>
      <c r="K2" s="9" t="s">
        <v>797</v>
      </c>
      <c r="L2" s="9" t="s">
        <v>797</v>
      </c>
      <c r="M2" s="29" t="s">
        <v>798</v>
      </c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7"/>
    </row>
    <row r="3" spans="1:29" ht="15" customHeight="1" x14ac:dyDescent="0.25">
      <c r="A3" s="30"/>
      <c r="B3" s="31"/>
      <c r="C3" s="31"/>
      <c r="D3" s="32"/>
      <c r="E3" s="32"/>
      <c r="F3" s="33"/>
      <c r="G3" s="33"/>
      <c r="H3" s="8" t="s">
        <v>799</v>
      </c>
      <c r="I3" s="8" t="s">
        <v>800</v>
      </c>
      <c r="J3" s="8" t="s">
        <v>801</v>
      </c>
      <c r="K3" s="7" t="s">
        <v>802</v>
      </c>
      <c r="L3" s="7" t="s">
        <v>803</v>
      </c>
      <c r="M3" s="7" t="s">
        <v>804</v>
      </c>
      <c r="N3" s="7" t="s">
        <v>805</v>
      </c>
      <c r="O3" s="7" t="s">
        <v>806</v>
      </c>
      <c r="P3" s="7" t="s">
        <v>807</v>
      </c>
      <c r="Q3" s="7" t="s">
        <v>808</v>
      </c>
      <c r="R3" s="7" t="s">
        <v>809</v>
      </c>
      <c r="S3" s="7" t="s">
        <v>810</v>
      </c>
      <c r="T3" s="7" t="s">
        <v>811</v>
      </c>
      <c r="U3" s="7" t="s">
        <v>812</v>
      </c>
      <c r="V3" s="7" t="s">
        <v>813</v>
      </c>
      <c r="W3" s="7" t="s">
        <v>814</v>
      </c>
      <c r="X3" s="7" t="s">
        <v>815</v>
      </c>
      <c r="Y3" s="7" t="s">
        <v>816</v>
      </c>
      <c r="Z3" s="7" t="s">
        <v>817</v>
      </c>
      <c r="AA3" s="7" t="s">
        <v>818</v>
      </c>
      <c r="AB3" s="7" t="s">
        <v>819</v>
      </c>
      <c r="AC3" s="27"/>
    </row>
    <row r="4" spans="1:29" ht="104.25" customHeight="1" x14ac:dyDescent="0.25">
      <c r="A4" s="30"/>
      <c r="B4" s="31"/>
      <c r="C4" s="31"/>
      <c r="D4" s="22" t="s">
        <v>2</v>
      </c>
      <c r="E4" s="22" t="s">
        <v>3</v>
      </c>
      <c r="F4" s="33"/>
      <c r="G4" s="33"/>
      <c r="H4" s="10"/>
      <c r="I4" s="10"/>
      <c r="J4" s="10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27"/>
    </row>
    <row r="5" spans="1:29" s="14" customFormat="1" ht="24.95" hidden="1" customHeight="1" x14ac:dyDescent="0.3">
      <c r="A5" s="19" t="s">
        <v>96</v>
      </c>
      <c r="B5" s="19" t="s">
        <v>97</v>
      </c>
      <c r="C5" s="19" t="s">
        <v>98</v>
      </c>
      <c r="D5" s="21">
        <v>-4.3321139999999998</v>
      </c>
      <c r="E5" s="21">
        <v>-39.286347999999997</v>
      </c>
      <c r="F5" s="20">
        <v>46197</v>
      </c>
      <c r="G5" s="20">
        <f>F5+2</f>
        <v>46199</v>
      </c>
      <c r="H5" s="12">
        <v>1219</v>
      </c>
      <c r="I5" s="12">
        <v>5443</v>
      </c>
      <c r="J5" s="12">
        <v>172</v>
      </c>
      <c r="K5" s="12">
        <v>640</v>
      </c>
      <c r="L5" s="12">
        <v>267</v>
      </c>
      <c r="M5" s="12">
        <v>34</v>
      </c>
      <c r="N5" s="12">
        <v>74</v>
      </c>
      <c r="O5" s="12">
        <v>16</v>
      </c>
      <c r="P5" s="12">
        <v>1</v>
      </c>
      <c r="Q5" s="12">
        <v>27</v>
      </c>
      <c r="R5" s="12">
        <v>60</v>
      </c>
      <c r="S5" s="12">
        <v>9</v>
      </c>
      <c r="T5" s="12">
        <v>95</v>
      </c>
      <c r="U5" s="12">
        <v>6</v>
      </c>
      <c r="V5" s="12">
        <v>1</v>
      </c>
      <c r="W5" s="12">
        <v>12</v>
      </c>
      <c r="X5" s="12">
        <v>1</v>
      </c>
      <c r="Y5" s="12">
        <v>1</v>
      </c>
      <c r="Z5" s="12">
        <v>17</v>
      </c>
      <c r="AA5" s="12">
        <v>37</v>
      </c>
      <c r="AB5" s="12">
        <v>12</v>
      </c>
      <c r="AC5" s="13">
        <f>SUM(H5:AB5)</f>
        <v>8144</v>
      </c>
    </row>
    <row r="6" spans="1:29" s="14" customFormat="1" ht="24.95" hidden="1" customHeight="1" x14ac:dyDescent="0.3">
      <c r="A6" s="19" t="s">
        <v>103</v>
      </c>
      <c r="B6" s="19" t="s">
        <v>104</v>
      </c>
      <c r="C6" s="19" t="s">
        <v>105</v>
      </c>
      <c r="D6" s="21"/>
      <c r="E6" s="21"/>
      <c r="F6" s="20"/>
      <c r="G6" s="20">
        <f t="shared" ref="G6:G69" si="0">F6+2</f>
        <v>2</v>
      </c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3">
        <f t="shared" ref="AC6:AC69" si="1">SUM(H6:AB6)</f>
        <v>0</v>
      </c>
    </row>
    <row r="7" spans="1:29" s="14" customFormat="1" ht="24.95" hidden="1" customHeight="1" x14ac:dyDescent="0.3">
      <c r="A7" s="19" t="s">
        <v>109</v>
      </c>
      <c r="B7" s="19" t="s">
        <v>104</v>
      </c>
      <c r="C7" s="19" t="s">
        <v>110</v>
      </c>
      <c r="D7" s="24">
        <v>-4.9123150000000004</v>
      </c>
      <c r="E7" s="24">
        <v>-38.000574</v>
      </c>
      <c r="F7" s="20">
        <v>46170</v>
      </c>
      <c r="G7" s="20">
        <f t="shared" si="0"/>
        <v>46172</v>
      </c>
      <c r="H7" s="12">
        <v>1420</v>
      </c>
      <c r="I7" s="12">
        <v>5166</v>
      </c>
      <c r="J7" s="12">
        <v>223</v>
      </c>
      <c r="K7" s="12">
        <v>932</v>
      </c>
      <c r="L7" s="12">
        <v>443</v>
      </c>
      <c r="M7" s="12">
        <v>27</v>
      </c>
      <c r="N7" s="12">
        <v>223</v>
      </c>
      <c r="O7" s="12">
        <v>63</v>
      </c>
      <c r="P7" s="12">
        <v>9</v>
      </c>
      <c r="Q7" s="12">
        <v>76</v>
      </c>
      <c r="R7" s="12">
        <v>107</v>
      </c>
      <c r="S7" s="12">
        <v>22</v>
      </c>
      <c r="T7" s="12">
        <v>103</v>
      </c>
      <c r="U7" s="12">
        <v>11</v>
      </c>
      <c r="V7" s="12">
        <v>2</v>
      </c>
      <c r="W7" s="12">
        <v>27</v>
      </c>
      <c r="X7" s="12">
        <v>6</v>
      </c>
      <c r="Y7" s="12">
        <v>2</v>
      </c>
      <c r="Z7" s="12">
        <v>47</v>
      </c>
      <c r="AA7" s="12">
        <v>45</v>
      </c>
      <c r="AB7" s="12">
        <v>64</v>
      </c>
      <c r="AC7" s="13">
        <f t="shared" si="1"/>
        <v>9018</v>
      </c>
    </row>
    <row r="8" spans="1:29" s="14" customFormat="1" ht="24.95" hidden="1" customHeight="1" x14ac:dyDescent="0.3">
      <c r="A8" s="19" t="s">
        <v>114</v>
      </c>
      <c r="B8" s="19" t="s">
        <v>115</v>
      </c>
      <c r="C8" s="19" t="s">
        <v>116</v>
      </c>
      <c r="D8" s="21"/>
      <c r="E8" s="21"/>
      <c r="F8" s="20"/>
      <c r="G8" s="20">
        <f t="shared" si="0"/>
        <v>2</v>
      </c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3">
        <f t="shared" si="1"/>
        <v>0</v>
      </c>
    </row>
    <row r="9" spans="1:29" s="14" customFormat="1" ht="24.95" hidden="1" customHeight="1" x14ac:dyDescent="0.3">
      <c r="A9" s="19" t="s">
        <v>120</v>
      </c>
      <c r="B9" s="19" t="s">
        <v>115</v>
      </c>
      <c r="C9" s="19" t="s">
        <v>121</v>
      </c>
      <c r="D9" s="21">
        <v>-3.751042</v>
      </c>
      <c r="E9" s="21">
        <v>-40.032590999999996</v>
      </c>
      <c r="F9" s="20">
        <v>46208</v>
      </c>
      <c r="G9" s="20">
        <f t="shared" si="0"/>
        <v>46210</v>
      </c>
      <c r="H9" s="12">
        <v>338</v>
      </c>
      <c r="I9" s="12">
        <v>2276</v>
      </c>
      <c r="J9" s="12">
        <v>95</v>
      </c>
      <c r="K9" s="12">
        <v>465</v>
      </c>
      <c r="L9" s="12">
        <v>271</v>
      </c>
      <c r="M9" s="12">
        <v>41</v>
      </c>
      <c r="N9" s="12">
        <v>69</v>
      </c>
      <c r="O9" s="12">
        <v>37</v>
      </c>
      <c r="P9" s="12">
        <v>16</v>
      </c>
      <c r="Q9" s="12">
        <v>63</v>
      </c>
      <c r="R9" s="12">
        <v>88</v>
      </c>
      <c r="S9" s="12">
        <v>11</v>
      </c>
      <c r="T9" s="12">
        <v>88</v>
      </c>
      <c r="U9" s="12">
        <v>6</v>
      </c>
      <c r="V9" s="12">
        <v>1</v>
      </c>
      <c r="W9" s="12">
        <v>31</v>
      </c>
      <c r="X9" s="12">
        <v>12</v>
      </c>
      <c r="Y9" s="12">
        <v>2</v>
      </c>
      <c r="Z9" s="12">
        <v>65</v>
      </c>
      <c r="AA9" s="12">
        <v>66</v>
      </c>
      <c r="AB9" s="12">
        <v>53</v>
      </c>
      <c r="AC9" s="13">
        <f t="shared" si="1"/>
        <v>4094</v>
      </c>
    </row>
    <row r="10" spans="1:29" s="14" customFormat="1" ht="24.95" hidden="1" customHeight="1" x14ac:dyDescent="0.3">
      <c r="A10" s="19" t="s">
        <v>125</v>
      </c>
      <c r="B10" s="19" t="s">
        <v>115</v>
      </c>
      <c r="C10" s="19" t="s">
        <v>126</v>
      </c>
      <c r="D10" s="24">
        <v>-3.7484069999999998</v>
      </c>
      <c r="E10" s="24">
        <v>-41.013356999999999</v>
      </c>
      <c r="F10" s="20">
        <v>46191</v>
      </c>
      <c r="G10" s="20">
        <f t="shared" si="0"/>
        <v>46193</v>
      </c>
      <c r="H10" s="12">
        <v>1456</v>
      </c>
      <c r="I10" s="12">
        <v>3003</v>
      </c>
      <c r="J10" s="12">
        <v>245</v>
      </c>
      <c r="K10" s="12">
        <v>658</v>
      </c>
      <c r="L10" s="12">
        <v>311</v>
      </c>
      <c r="M10" s="12">
        <v>40</v>
      </c>
      <c r="N10" s="12">
        <v>102</v>
      </c>
      <c r="O10" s="12">
        <v>53</v>
      </c>
      <c r="P10" s="12">
        <v>16</v>
      </c>
      <c r="Q10" s="12">
        <v>52</v>
      </c>
      <c r="R10" s="12">
        <v>140</v>
      </c>
      <c r="S10" s="12">
        <v>8</v>
      </c>
      <c r="T10" s="12">
        <v>109</v>
      </c>
      <c r="U10" s="12">
        <v>7</v>
      </c>
      <c r="V10" s="12">
        <v>0</v>
      </c>
      <c r="W10" s="12">
        <v>37</v>
      </c>
      <c r="X10" s="12">
        <v>7</v>
      </c>
      <c r="Y10" s="12">
        <v>2</v>
      </c>
      <c r="Z10" s="12">
        <v>63</v>
      </c>
      <c r="AA10" s="12">
        <v>60</v>
      </c>
      <c r="AB10" s="12">
        <v>125</v>
      </c>
      <c r="AC10" s="13">
        <f t="shared" si="1"/>
        <v>6494</v>
      </c>
    </row>
    <row r="11" spans="1:29" s="14" customFormat="1" ht="24.95" hidden="1" customHeight="1" x14ac:dyDescent="0.3">
      <c r="A11" s="19" t="s">
        <v>135</v>
      </c>
      <c r="B11" s="19" t="s">
        <v>136</v>
      </c>
      <c r="C11" s="19" t="s">
        <v>137</v>
      </c>
      <c r="D11" s="21">
        <v>-5.194903</v>
      </c>
      <c r="E11" s="21">
        <v>-40.633378</v>
      </c>
      <c r="F11" s="20">
        <v>46125</v>
      </c>
      <c r="G11" s="20">
        <f t="shared" si="0"/>
        <v>46127</v>
      </c>
      <c r="H11" s="12">
        <v>1524</v>
      </c>
      <c r="I11" s="12">
        <v>3997</v>
      </c>
      <c r="J11" s="12">
        <v>5</v>
      </c>
      <c r="K11" s="12">
        <v>62</v>
      </c>
      <c r="L11" s="12">
        <v>39</v>
      </c>
      <c r="M11" s="12">
        <v>7</v>
      </c>
      <c r="N11" s="12">
        <v>7</v>
      </c>
      <c r="O11" s="12">
        <v>0</v>
      </c>
      <c r="P11" s="12">
        <v>0</v>
      </c>
      <c r="Q11" s="12">
        <v>1</v>
      </c>
      <c r="R11" s="12">
        <v>0</v>
      </c>
      <c r="S11" s="12">
        <v>4</v>
      </c>
      <c r="T11" s="12">
        <v>36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3">
        <f t="shared" si="1"/>
        <v>5682</v>
      </c>
    </row>
    <row r="12" spans="1:29" s="14" customFormat="1" ht="24.95" hidden="1" customHeight="1" x14ac:dyDescent="0.3">
      <c r="A12" s="19" t="s">
        <v>141</v>
      </c>
      <c r="B12" s="19" t="s">
        <v>142</v>
      </c>
      <c r="C12" s="19" t="s">
        <v>143</v>
      </c>
      <c r="D12" s="21">
        <v>-4.5740699999999999</v>
      </c>
      <c r="E12" s="21">
        <v>-37.736370000000001</v>
      </c>
      <c r="F12" s="20">
        <v>46173</v>
      </c>
      <c r="G12" s="20">
        <v>46175</v>
      </c>
      <c r="H12" s="12">
        <v>1118</v>
      </c>
      <c r="I12" s="12">
        <v>5695</v>
      </c>
      <c r="J12" s="12">
        <v>120</v>
      </c>
      <c r="K12" s="12">
        <v>531</v>
      </c>
      <c r="L12" s="12">
        <v>262</v>
      </c>
      <c r="M12" s="12">
        <v>46</v>
      </c>
      <c r="N12" s="12">
        <v>180</v>
      </c>
      <c r="O12" s="12">
        <v>66</v>
      </c>
      <c r="P12" s="12">
        <v>9</v>
      </c>
      <c r="Q12" s="12">
        <v>58</v>
      </c>
      <c r="R12" s="12">
        <v>104</v>
      </c>
      <c r="S12" s="12">
        <v>8</v>
      </c>
      <c r="T12" s="12">
        <v>78</v>
      </c>
      <c r="U12" s="12">
        <v>3</v>
      </c>
      <c r="V12" s="12">
        <v>2</v>
      </c>
      <c r="W12" s="12">
        <v>11</v>
      </c>
      <c r="X12" s="12">
        <v>7</v>
      </c>
      <c r="Y12" s="12">
        <v>1</v>
      </c>
      <c r="Z12" s="12">
        <v>36</v>
      </c>
      <c r="AA12" s="12">
        <v>51</v>
      </c>
      <c r="AB12" s="12">
        <v>11</v>
      </c>
      <c r="AC12" s="13">
        <f t="shared" si="1"/>
        <v>8397</v>
      </c>
    </row>
    <row r="13" spans="1:29" s="14" customFormat="1" ht="24.95" hidden="1" customHeight="1" x14ac:dyDescent="0.3">
      <c r="A13" s="19" t="s">
        <v>147</v>
      </c>
      <c r="B13" s="19" t="s">
        <v>574</v>
      </c>
      <c r="C13" s="19" t="s">
        <v>820</v>
      </c>
      <c r="D13" s="21"/>
      <c r="E13" s="21"/>
      <c r="F13" s="20"/>
      <c r="G13" s="20">
        <f t="shared" si="0"/>
        <v>2</v>
      </c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3">
        <f t="shared" si="1"/>
        <v>0</v>
      </c>
    </row>
    <row r="14" spans="1:29" s="14" customFormat="1" ht="24.95" hidden="1" customHeight="1" x14ac:dyDescent="0.3">
      <c r="A14" s="19" t="s">
        <v>159</v>
      </c>
      <c r="B14" s="19" t="s">
        <v>76</v>
      </c>
      <c r="C14" s="19" t="s">
        <v>160</v>
      </c>
      <c r="D14" s="24" t="s">
        <v>841</v>
      </c>
      <c r="E14" s="24" t="s">
        <v>842</v>
      </c>
      <c r="F14" s="20">
        <v>46142</v>
      </c>
      <c r="G14" s="20">
        <f t="shared" si="0"/>
        <v>46144</v>
      </c>
      <c r="H14" s="12">
        <v>1977</v>
      </c>
      <c r="I14" s="12">
        <v>2574</v>
      </c>
      <c r="J14" s="12">
        <v>46</v>
      </c>
      <c r="K14" s="12">
        <v>307</v>
      </c>
      <c r="L14" s="12">
        <v>133</v>
      </c>
      <c r="M14" s="12">
        <v>20</v>
      </c>
      <c r="N14" s="12">
        <v>39</v>
      </c>
      <c r="O14" s="12">
        <v>1</v>
      </c>
      <c r="P14" s="12">
        <v>1</v>
      </c>
      <c r="Q14" s="12">
        <v>6</v>
      </c>
      <c r="R14" s="12">
        <v>6</v>
      </c>
      <c r="S14" s="12">
        <v>4</v>
      </c>
      <c r="T14" s="12">
        <v>69</v>
      </c>
      <c r="U14" s="12">
        <v>2</v>
      </c>
      <c r="V14" s="12">
        <v>0</v>
      </c>
      <c r="W14" s="12">
        <v>1</v>
      </c>
      <c r="X14" s="12">
        <v>0</v>
      </c>
      <c r="Y14" s="12">
        <v>0</v>
      </c>
      <c r="Z14" s="12">
        <v>2</v>
      </c>
      <c r="AA14" s="12">
        <v>0</v>
      </c>
      <c r="AB14" s="12">
        <v>2</v>
      </c>
      <c r="AC14" s="13">
        <f t="shared" si="1"/>
        <v>5190</v>
      </c>
    </row>
    <row r="15" spans="1:29" s="14" customFormat="1" ht="24.95" hidden="1" customHeight="1" x14ac:dyDescent="0.3">
      <c r="A15" s="19" t="s">
        <v>173</v>
      </c>
      <c r="B15" s="19" t="s">
        <v>174</v>
      </c>
      <c r="C15" s="19" t="s">
        <v>175</v>
      </c>
      <c r="D15" s="21"/>
      <c r="E15" s="21"/>
      <c r="F15" s="20"/>
      <c r="G15" s="20">
        <f t="shared" si="0"/>
        <v>2</v>
      </c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3">
        <f t="shared" si="1"/>
        <v>0</v>
      </c>
    </row>
    <row r="16" spans="1:29" s="14" customFormat="1" ht="24.95" hidden="1" customHeight="1" x14ac:dyDescent="0.3">
      <c r="A16" s="19" t="s">
        <v>180</v>
      </c>
      <c r="B16" s="19" t="s">
        <v>174</v>
      </c>
      <c r="C16" s="19" t="s">
        <v>181</v>
      </c>
      <c r="D16" s="24">
        <v>-2.9143889999999999</v>
      </c>
      <c r="E16" s="24">
        <v>-40.170302</v>
      </c>
      <c r="F16" s="20">
        <v>46156</v>
      </c>
      <c r="G16" s="20">
        <f t="shared" si="0"/>
        <v>46158</v>
      </c>
      <c r="H16" s="12">
        <v>1561</v>
      </c>
      <c r="I16" s="12">
        <v>3376</v>
      </c>
      <c r="J16" s="12">
        <v>105</v>
      </c>
      <c r="K16" s="12">
        <v>424</v>
      </c>
      <c r="L16" s="12">
        <v>166</v>
      </c>
      <c r="M16" s="12">
        <v>24</v>
      </c>
      <c r="N16" s="12">
        <v>42</v>
      </c>
      <c r="O16" s="12">
        <v>12</v>
      </c>
      <c r="P16" s="12">
        <v>1</v>
      </c>
      <c r="Q16" s="12">
        <v>12</v>
      </c>
      <c r="R16" s="12">
        <v>19</v>
      </c>
      <c r="S16" s="12">
        <v>9</v>
      </c>
      <c r="T16" s="12">
        <v>69</v>
      </c>
      <c r="U16" s="12">
        <v>1</v>
      </c>
      <c r="V16" s="12">
        <v>2</v>
      </c>
      <c r="W16" s="12">
        <v>6</v>
      </c>
      <c r="X16" s="12">
        <v>1</v>
      </c>
      <c r="Y16" s="12">
        <v>0</v>
      </c>
      <c r="Z16" s="12">
        <v>5</v>
      </c>
      <c r="AA16" s="12">
        <v>5</v>
      </c>
      <c r="AB16" s="12">
        <v>5</v>
      </c>
      <c r="AC16" s="13">
        <f t="shared" si="1"/>
        <v>5845</v>
      </c>
    </row>
    <row r="17" spans="1:29" s="14" customFormat="1" ht="24.95" hidden="1" customHeight="1" x14ac:dyDescent="0.3">
      <c r="A17" s="19" t="s">
        <v>185</v>
      </c>
      <c r="B17" s="19" t="s">
        <v>174</v>
      </c>
      <c r="C17" s="19" t="s">
        <v>186</v>
      </c>
      <c r="D17" s="21">
        <v>-3.0483189999999998</v>
      </c>
      <c r="E17" s="21">
        <v>-41.245891</v>
      </c>
      <c r="F17" s="20">
        <v>46188</v>
      </c>
      <c r="G17" s="20">
        <f t="shared" si="0"/>
        <v>46190</v>
      </c>
      <c r="H17" s="12">
        <v>1129</v>
      </c>
      <c r="I17" s="12">
        <v>1136</v>
      </c>
      <c r="J17" s="12">
        <v>109</v>
      </c>
      <c r="K17" s="12">
        <v>166</v>
      </c>
      <c r="L17" s="12">
        <v>99</v>
      </c>
      <c r="M17" s="12">
        <v>9</v>
      </c>
      <c r="N17" s="12">
        <v>17</v>
      </c>
      <c r="O17" s="12">
        <v>7</v>
      </c>
      <c r="P17" s="12">
        <v>1</v>
      </c>
      <c r="Q17" s="12">
        <v>7</v>
      </c>
      <c r="R17" s="12">
        <v>15</v>
      </c>
      <c r="S17" s="12">
        <v>0</v>
      </c>
      <c r="T17" s="12">
        <v>45</v>
      </c>
      <c r="U17" s="12">
        <v>0</v>
      </c>
      <c r="V17" s="12">
        <v>0</v>
      </c>
      <c r="W17" s="12">
        <v>1</v>
      </c>
      <c r="X17" s="12">
        <v>1</v>
      </c>
      <c r="Y17" s="12">
        <v>0</v>
      </c>
      <c r="Z17" s="12">
        <v>1</v>
      </c>
      <c r="AA17" s="12">
        <v>2</v>
      </c>
      <c r="AB17" s="12">
        <v>2</v>
      </c>
      <c r="AC17" s="13">
        <f t="shared" si="1"/>
        <v>2747</v>
      </c>
    </row>
    <row r="18" spans="1:29" s="14" customFormat="1" ht="24.95" hidden="1" customHeight="1" x14ac:dyDescent="0.3">
      <c r="A18" s="19" t="s">
        <v>190</v>
      </c>
      <c r="B18" s="19" t="s">
        <v>191</v>
      </c>
      <c r="C18" s="19" t="s">
        <v>192</v>
      </c>
      <c r="D18" s="24">
        <v>-5.0728489999999997</v>
      </c>
      <c r="E18" s="24">
        <v>-38.384563</v>
      </c>
      <c r="F18" s="20">
        <v>46145</v>
      </c>
      <c r="G18" s="20">
        <f t="shared" si="0"/>
        <v>46147</v>
      </c>
      <c r="H18" s="12">
        <v>1139</v>
      </c>
      <c r="I18" s="12">
        <v>2306</v>
      </c>
      <c r="J18" s="12">
        <v>21</v>
      </c>
      <c r="K18" s="12">
        <v>219</v>
      </c>
      <c r="L18" s="12">
        <v>88</v>
      </c>
      <c r="M18" s="12">
        <v>24</v>
      </c>
      <c r="N18" s="12">
        <v>30</v>
      </c>
      <c r="O18" s="12">
        <v>4</v>
      </c>
      <c r="P18" s="12">
        <v>3</v>
      </c>
      <c r="Q18" s="12">
        <v>6</v>
      </c>
      <c r="R18" s="12">
        <v>14</v>
      </c>
      <c r="S18" s="12">
        <v>1</v>
      </c>
      <c r="T18" s="12">
        <v>63</v>
      </c>
      <c r="U18" s="12">
        <v>0</v>
      </c>
      <c r="V18" s="12">
        <v>0</v>
      </c>
      <c r="W18" s="12">
        <v>1</v>
      </c>
      <c r="X18" s="12">
        <v>0</v>
      </c>
      <c r="Y18" s="12">
        <v>0</v>
      </c>
      <c r="Z18" s="12">
        <v>7</v>
      </c>
      <c r="AA18" s="12">
        <v>2</v>
      </c>
      <c r="AB18" s="12">
        <v>6</v>
      </c>
      <c r="AC18" s="13">
        <f t="shared" si="1"/>
        <v>3934</v>
      </c>
    </row>
    <row r="19" spans="1:29" s="14" customFormat="1" ht="24.95" hidden="1" customHeight="1" x14ac:dyDescent="0.3">
      <c r="A19" s="19" t="s">
        <v>196</v>
      </c>
      <c r="B19" s="19" t="s">
        <v>197</v>
      </c>
      <c r="C19" s="19" t="s">
        <v>198</v>
      </c>
      <c r="D19" s="24" t="s">
        <v>843</v>
      </c>
      <c r="E19" s="24" t="s">
        <v>844</v>
      </c>
      <c r="F19" s="20">
        <v>46142</v>
      </c>
      <c r="G19" s="20">
        <f t="shared" si="0"/>
        <v>46144</v>
      </c>
      <c r="H19" s="12">
        <v>397</v>
      </c>
      <c r="I19" s="12">
        <v>888</v>
      </c>
      <c r="J19" s="12">
        <v>21</v>
      </c>
      <c r="K19" s="12">
        <v>93</v>
      </c>
      <c r="L19" s="12">
        <v>46</v>
      </c>
      <c r="M19" s="12">
        <v>8</v>
      </c>
      <c r="N19" s="12">
        <v>7</v>
      </c>
      <c r="O19" s="12">
        <v>0</v>
      </c>
      <c r="P19" s="12">
        <v>1</v>
      </c>
      <c r="Q19" s="12">
        <v>2</v>
      </c>
      <c r="R19" s="12">
        <v>2</v>
      </c>
      <c r="S19" s="12">
        <v>6</v>
      </c>
      <c r="T19" s="12">
        <v>15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3">
        <f t="shared" si="1"/>
        <v>1486</v>
      </c>
    </row>
    <row r="20" spans="1:29" s="14" customFormat="1" ht="24.95" hidden="1" customHeight="1" x14ac:dyDescent="0.3">
      <c r="A20" s="19" t="s">
        <v>594</v>
      </c>
      <c r="B20" s="19" t="s">
        <v>595</v>
      </c>
      <c r="C20" s="19" t="s">
        <v>596</v>
      </c>
      <c r="D20" s="21">
        <v>-3.7752400000000002</v>
      </c>
      <c r="E20" s="21">
        <v>-40.496578999999997</v>
      </c>
      <c r="F20" s="20">
        <v>46120</v>
      </c>
      <c r="G20" s="20">
        <f t="shared" si="0"/>
        <v>46122</v>
      </c>
      <c r="H20" s="12">
        <v>1556</v>
      </c>
      <c r="I20" s="12">
        <v>2003</v>
      </c>
      <c r="J20" s="12">
        <v>62</v>
      </c>
      <c r="K20" s="12">
        <v>457</v>
      </c>
      <c r="L20" s="12">
        <v>84</v>
      </c>
      <c r="M20" s="12">
        <v>7</v>
      </c>
      <c r="N20" s="12">
        <v>20</v>
      </c>
      <c r="O20" s="12">
        <v>4</v>
      </c>
      <c r="P20" s="12">
        <v>0</v>
      </c>
      <c r="Q20" s="12">
        <v>5</v>
      </c>
      <c r="R20" s="12">
        <v>6</v>
      </c>
      <c r="S20" s="12">
        <v>4</v>
      </c>
      <c r="T20" s="12">
        <v>27</v>
      </c>
      <c r="U20" s="12">
        <v>2</v>
      </c>
      <c r="V20" s="12">
        <v>0</v>
      </c>
      <c r="W20" s="12">
        <v>1</v>
      </c>
      <c r="X20" s="12">
        <v>1</v>
      </c>
      <c r="Y20" s="12">
        <v>0</v>
      </c>
      <c r="Z20" s="12">
        <v>2</v>
      </c>
      <c r="AA20" s="12">
        <v>2</v>
      </c>
      <c r="AB20" s="12">
        <v>2</v>
      </c>
      <c r="AC20" s="13">
        <f t="shared" si="1"/>
        <v>4245</v>
      </c>
    </row>
    <row r="21" spans="1:29" s="14" customFormat="1" ht="24.95" hidden="1" customHeight="1" x14ac:dyDescent="0.3">
      <c r="A21" s="19" t="s">
        <v>600</v>
      </c>
      <c r="B21" s="19" t="s">
        <v>208</v>
      </c>
      <c r="C21" s="19" t="s">
        <v>601</v>
      </c>
      <c r="D21" s="24">
        <v>-3.9414410000000002</v>
      </c>
      <c r="E21" s="24">
        <v>-40.889654999999998</v>
      </c>
      <c r="F21" s="20">
        <v>46191</v>
      </c>
      <c r="G21" s="20">
        <f>F21+2</f>
        <v>46193</v>
      </c>
      <c r="H21" s="12">
        <v>755</v>
      </c>
      <c r="I21" s="12">
        <v>5467</v>
      </c>
      <c r="J21" s="12">
        <v>254</v>
      </c>
      <c r="K21" s="12">
        <v>606</v>
      </c>
      <c r="L21" s="12">
        <v>119</v>
      </c>
      <c r="M21" s="12">
        <v>28</v>
      </c>
      <c r="N21" s="12">
        <v>45</v>
      </c>
      <c r="O21" s="12">
        <v>0</v>
      </c>
      <c r="P21" s="12">
        <v>0</v>
      </c>
      <c r="Q21" s="12">
        <v>11</v>
      </c>
      <c r="R21" s="12">
        <v>7</v>
      </c>
      <c r="S21" s="12">
        <v>4</v>
      </c>
      <c r="T21" s="12">
        <v>55</v>
      </c>
      <c r="U21" s="12">
        <v>13</v>
      </c>
      <c r="V21" s="12">
        <v>1</v>
      </c>
      <c r="W21" s="12">
        <v>9</v>
      </c>
      <c r="X21" s="12">
        <v>0</v>
      </c>
      <c r="Y21" s="12">
        <v>0</v>
      </c>
      <c r="Z21" s="12">
        <v>4</v>
      </c>
      <c r="AA21" s="12">
        <v>2</v>
      </c>
      <c r="AB21" s="12">
        <v>1</v>
      </c>
      <c r="AC21" s="13">
        <f t="shared" si="1"/>
        <v>7381</v>
      </c>
    </row>
    <row r="22" spans="1:29" s="14" customFormat="1" ht="24.95" hidden="1" customHeight="1" x14ac:dyDescent="0.3">
      <c r="A22" s="19" t="s">
        <v>605</v>
      </c>
      <c r="B22" s="19" t="s">
        <v>606</v>
      </c>
      <c r="C22" s="19" t="s">
        <v>607</v>
      </c>
      <c r="D22" s="21">
        <v>-4.7911549999999998</v>
      </c>
      <c r="E22" s="21">
        <v>-40.827958000000002</v>
      </c>
      <c r="F22" s="20">
        <v>46128</v>
      </c>
      <c r="G22" s="20">
        <f t="shared" ref="G22:G23" si="2">F22+2</f>
        <v>46130</v>
      </c>
      <c r="H22" s="12">
        <v>1240</v>
      </c>
      <c r="I22" s="12">
        <v>600</v>
      </c>
      <c r="J22" s="12">
        <v>10</v>
      </c>
      <c r="K22" s="12">
        <v>134</v>
      </c>
      <c r="L22" s="12">
        <v>19</v>
      </c>
      <c r="M22" s="12">
        <v>9</v>
      </c>
      <c r="N22" s="12">
        <v>3</v>
      </c>
      <c r="O22" s="12">
        <v>1</v>
      </c>
      <c r="P22" s="12">
        <v>0</v>
      </c>
      <c r="Q22" s="12">
        <v>0</v>
      </c>
      <c r="R22" s="12">
        <v>2</v>
      </c>
      <c r="S22" s="12">
        <v>0</v>
      </c>
      <c r="T22" s="12">
        <v>20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3">
        <f t="shared" si="1"/>
        <v>2038</v>
      </c>
    </row>
    <row r="23" spans="1:29" s="14" customFormat="1" ht="24.95" hidden="1" customHeight="1" x14ac:dyDescent="0.3">
      <c r="A23" s="19" t="s">
        <v>611</v>
      </c>
      <c r="B23" s="19" t="s">
        <v>405</v>
      </c>
      <c r="C23" s="19" t="s">
        <v>612</v>
      </c>
      <c r="D23" s="24" t="s">
        <v>851</v>
      </c>
      <c r="E23" s="24" t="s">
        <v>852</v>
      </c>
      <c r="F23" s="20">
        <v>46153</v>
      </c>
      <c r="G23" s="20">
        <f t="shared" si="2"/>
        <v>46155</v>
      </c>
      <c r="H23" s="12">
        <v>1241</v>
      </c>
      <c r="I23" s="12">
        <v>5192</v>
      </c>
      <c r="J23" s="12">
        <v>53</v>
      </c>
      <c r="K23" s="12">
        <v>350</v>
      </c>
      <c r="L23" s="12">
        <v>93</v>
      </c>
      <c r="M23" s="12">
        <v>29</v>
      </c>
      <c r="N23" s="12">
        <v>37</v>
      </c>
      <c r="O23" s="12">
        <v>9</v>
      </c>
      <c r="P23" s="12">
        <v>3</v>
      </c>
      <c r="Q23" s="12">
        <v>7</v>
      </c>
      <c r="R23" s="12">
        <v>12</v>
      </c>
      <c r="S23" s="12">
        <v>18</v>
      </c>
      <c r="T23" s="12">
        <v>40</v>
      </c>
      <c r="U23" s="12">
        <v>3</v>
      </c>
      <c r="V23" s="12">
        <v>0</v>
      </c>
      <c r="W23" s="12">
        <v>6</v>
      </c>
      <c r="X23" s="12">
        <v>2</v>
      </c>
      <c r="Y23" s="12">
        <v>0</v>
      </c>
      <c r="Z23" s="12">
        <v>9</v>
      </c>
      <c r="AA23" s="12">
        <v>2</v>
      </c>
      <c r="AB23" s="12">
        <v>2</v>
      </c>
      <c r="AC23" s="13">
        <f t="shared" si="1"/>
        <v>7108</v>
      </c>
    </row>
    <row r="24" spans="1:29" s="14" customFormat="1" ht="24.95" hidden="1" customHeight="1" x14ac:dyDescent="0.3">
      <c r="A24" s="19" t="s">
        <v>616</v>
      </c>
      <c r="B24" s="19" t="s">
        <v>617</v>
      </c>
      <c r="C24" s="19" t="s">
        <v>618</v>
      </c>
      <c r="D24" s="21"/>
      <c r="E24" s="21"/>
      <c r="F24" s="20"/>
      <c r="G24" s="20">
        <f t="shared" si="0"/>
        <v>2</v>
      </c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3">
        <f t="shared" si="1"/>
        <v>0</v>
      </c>
    </row>
    <row r="25" spans="1:29" s="14" customFormat="1" ht="24.95" hidden="1" customHeight="1" x14ac:dyDescent="0.3">
      <c r="A25" s="19" t="s">
        <v>622</v>
      </c>
      <c r="B25" s="19" t="s">
        <v>235</v>
      </c>
      <c r="C25" s="19" t="s">
        <v>623</v>
      </c>
      <c r="D25" s="24" t="s">
        <v>861</v>
      </c>
      <c r="E25" s="24" t="s">
        <v>862</v>
      </c>
      <c r="F25" s="20">
        <v>46159</v>
      </c>
      <c r="G25" s="20">
        <f t="shared" si="0"/>
        <v>46161</v>
      </c>
      <c r="H25" s="12">
        <v>1775</v>
      </c>
      <c r="I25" s="12">
        <v>2637</v>
      </c>
      <c r="J25" s="12">
        <v>6</v>
      </c>
      <c r="K25" s="12">
        <v>111</v>
      </c>
      <c r="L25" s="12">
        <v>16</v>
      </c>
      <c r="M25" s="12">
        <v>3</v>
      </c>
      <c r="N25" s="12">
        <v>4</v>
      </c>
      <c r="O25" s="12">
        <v>0</v>
      </c>
      <c r="P25" s="12">
        <v>0</v>
      </c>
      <c r="Q25" s="12">
        <v>0</v>
      </c>
      <c r="R25" s="12">
        <v>3</v>
      </c>
      <c r="S25" s="12">
        <v>1</v>
      </c>
      <c r="T25" s="12">
        <v>29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1</v>
      </c>
      <c r="AA25" s="12">
        <v>0</v>
      </c>
      <c r="AB25" s="12">
        <v>0</v>
      </c>
      <c r="AC25" s="13">
        <f t="shared" si="1"/>
        <v>4586</v>
      </c>
    </row>
    <row r="26" spans="1:29" s="14" customFormat="1" ht="24.95" hidden="1" customHeight="1" x14ac:dyDescent="0.3">
      <c r="A26" s="19" t="s">
        <v>627</v>
      </c>
      <c r="B26" s="19" t="s">
        <v>463</v>
      </c>
      <c r="C26" s="19" t="s">
        <v>628</v>
      </c>
      <c r="D26" s="21">
        <v>-3.1338309999999998</v>
      </c>
      <c r="E26" s="21">
        <v>-40.838026999999997</v>
      </c>
      <c r="F26" s="20">
        <v>46188</v>
      </c>
      <c r="G26" s="20">
        <f t="shared" si="0"/>
        <v>46190</v>
      </c>
      <c r="H26" s="12">
        <v>646</v>
      </c>
      <c r="I26" s="12">
        <v>1551</v>
      </c>
      <c r="J26" s="12">
        <v>55</v>
      </c>
      <c r="K26" s="12">
        <v>104</v>
      </c>
      <c r="L26" s="12">
        <v>37</v>
      </c>
      <c r="M26" s="12">
        <v>2</v>
      </c>
      <c r="N26" s="12">
        <v>8</v>
      </c>
      <c r="O26" s="12">
        <v>3</v>
      </c>
      <c r="P26" s="12">
        <v>0</v>
      </c>
      <c r="Q26" s="12">
        <v>2</v>
      </c>
      <c r="R26" s="12">
        <v>5</v>
      </c>
      <c r="S26" s="12">
        <v>0</v>
      </c>
      <c r="T26" s="12">
        <v>14</v>
      </c>
      <c r="U26" s="12">
        <v>3</v>
      </c>
      <c r="V26" s="12">
        <v>0</v>
      </c>
      <c r="W26" s="12">
        <v>2</v>
      </c>
      <c r="X26" s="12">
        <v>0</v>
      </c>
      <c r="Y26" s="12">
        <v>0</v>
      </c>
      <c r="Z26" s="12">
        <v>0</v>
      </c>
      <c r="AA26" s="12">
        <v>1</v>
      </c>
      <c r="AB26" s="12">
        <v>0</v>
      </c>
      <c r="AC26" s="13">
        <f t="shared" si="1"/>
        <v>2433</v>
      </c>
    </row>
    <row r="27" spans="1:29" s="14" customFormat="1" ht="24.95" hidden="1" customHeight="1" x14ac:dyDescent="0.3">
      <c r="A27" s="19" t="s">
        <v>632</v>
      </c>
      <c r="B27" s="19" t="s">
        <v>493</v>
      </c>
      <c r="C27" s="19" t="s">
        <v>633</v>
      </c>
      <c r="D27" s="24">
        <v>-5.0453950000000001</v>
      </c>
      <c r="E27" s="24">
        <v>-37.773105999999999</v>
      </c>
      <c r="F27" s="20">
        <v>46170</v>
      </c>
      <c r="G27" s="20">
        <f t="shared" si="0"/>
        <v>46172</v>
      </c>
      <c r="H27" s="12">
        <v>233</v>
      </c>
      <c r="I27" s="12">
        <v>1352</v>
      </c>
      <c r="J27" s="12">
        <v>138</v>
      </c>
      <c r="K27" s="12">
        <v>316</v>
      </c>
      <c r="L27" s="12">
        <v>274</v>
      </c>
      <c r="M27" s="12">
        <v>21</v>
      </c>
      <c r="N27" s="12">
        <v>92</v>
      </c>
      <c r="O27" s="12">
        <v>11</v>
      </c>
      <c r="P27" s="12">
        <v>5</v>
      </c>
      <c r="Q27" s="12">
        <v>52</v>
      </c>
      <c r="R27" s="12">
        <v>64</v>
      </c>
      <c r="S27" s="12">
        <v>4</v>
      </c>
      <c r="T27" s="12">
        <v>36</v>
      </c>
      <c r="U27" s="12">
        <v>15</v>
      </c>
      <c r="V27" s="12">
        <v>2</v>
      </c>
      <c r="W27" s="12">
        <v>27</v>
      </c>
      <c r="X27" s="12">
        <v>5</v>
      </c>
      <c r="Y27" s="12">
        <v>5</v>
      </c>
      <c r="Z27" s="12">
        <v>71</v>
      </c>
      <c r="AA27" s="12">
        <v>56</v>
      </c>
      <c r="AB27" s="12">
        <v>65</v>
      </c>
      <c r="AC27" s="13">
        <f t="shared" si="1"/>
        <v>2844</v>
      </c>
    </row>
    <row r="28" spans="1:29" s="14" customFormat="1" ht="24.95" hidden="1" customHeight="1" x14ac:dyDescent="0.3">
      <c r="A28" s="19" t="s">
        <v>202</v>
      </c>
      <c r="B28" s="19" t="s">
        <v>76</v>
      </c>
      <c r="C28" s="19" t="s">
        <v>203</v>
      </c>
      <c r="D28" s="24" t="s">
        <v>845</v>
      </c>
      <c r="E28" s="24" t="s">
        <v>846</v>
      </c>
      <c r="F28" s="20">
        <v>46142</v>
      </c>
      <c r="G28" s="20">
        <f t="shared" si="0"/>
        <v>46144</v>
      </c>
      <c r="H28" s="12">
        <v>3309</v>
      </c>
      <c r="I28" s="12">
        <v>4718</v>
      </c>
      <c r="J28" s="12">
        <v>73</v>
      </c>
      <c r="K28" s="12">
        <v>467</v>
      </c>
      <c r="L28" s="12">
        <v>214</v>
      </c>
      <c r="M28" s="12">
        <v>31</v>
      </c>
      <c r="N28" s="12">
        <v>70</v>
      </c>
      <c r="O28" s="12">
        <v>5</v>
      </c>
      <c r="P28" s="12">
        <v>8</v>
      </c>
      <c r="Q28" s="12">
        <v>12</v>
      </c>
      <c r="R28" s="12">
        <v>19</v>
      </c>
      <c r="S28" s="12">
        <v>11</v>
      </c>
      <c r="T28" s="12">
        <v>135</v>
      </c>
      <c r="U28" s="12">
        <v>2</v>
      </c>
      <c r="V28" s="12">
        <v>2</v>
      </c>
      <c r="W28" s="12">
        <v>3</v>
      </c>
      <c r="X28" s="12">
        <v>0</v>
      </c>
      <c r="Y28" s="12">
        <v>1</v>
      </c>
      <c r="Z28" s="12">
        <v>4</v>
      </c>
      <c r="AA28" s="12">
        <v>1</v>
      </c>
      <c r="AB28" s="12">
        <v>16</v>
      </c>
      <c r="AC28" s="13">
        <f t="shared" si="1"/>
        <v>9101</v>
      </c>
    </row>
    <row r="29" spans="1:29" ht="24.95" hidden="1" customHeight="1" x14ac:dyDescent="0.25">
      <c r="A29" s="19" t="s">
        <v>637</v>
      </c>
      <c r="B29" s="19" t="s">
        <v>76</v>
      </c>
      <c r="C29" s="19" t="s">
        <v>638</v>
      </c>
      <c r="D29" s="24" t="s">
        <v>827</v>
      </c>
      <c r="E29" s="24" t="s">
        <v>828</v>
      </c>
      <c r="F29" s="20">
        <v>46139</v>
      </c>
      <c r="G29" s="20">
        <f t="shared" si="0"/>
        <v>46141</v>
      </c>
      <c r="H29" s="12">
        <v>323</v>
      </c>
      <c r="I29" s="12">
        <v>1612</v>
      </c>
      <c r="J29" s="12">
        <v>32</v>
      </c>
      <c r="K29" s="12">
        <v>227</v>
      </c>
      <c r="L29" s="12">
        <v>77</v>
      </c>
      <c r="M29" s="12">
        <v>11</v>
      </c>
      <c r="N29" s="12">
        <v>10</v>
      </c>
      <c r="O29" s="12">
        <v>3</v>
      </c>
      <c r="P29" s="12">
        <v>0</v>
      </c>
      <c r="Q29" s="12">
        <v>4</v>
      </c>
      <c r="R29" s="12">
        <v>1</v>
      </c>
      <c r="S29" s="12">
        <v>1</v>
      </c>
      <c r="T29" s="12">
        <v>14</v>
      </c>
      <c r="U29" s="12">
        <v>1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3">
        <f t="shared" si="1"/>
        <v>2316</v>
      </c>
    </row>
    <row r="30" spans="1:29" ht="24.95" hidden="1" customHeight="1" x14ac:dyDescent="0.25">
      <c r="A30" s="19" t="s">
        <v>642</v>
      </c>
      <c r="B30" s="19" t="s">
        <v>104</v>
      </c>
      <c r="C30" s="19" t="s">
        <v>643</v>
      </c>
      <c r="D30" s="21"/>
      <c r="E30" s="21"/>
      <c r="F30" s="20"/>
      <c r="G30" s="20">
        <f t="shared" si="0"/>
        <v>2</v>
      </c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3">
        <f t="shared" si="1"/>
        <v>0</v>
      </c>
    </row>
    <row r="31" spans="1:29" ht="24.95" hidden="1" customHeight="1" x14ac:dyDescent="0.25">
      <c r="A31" s="19" t="s">
        <v>647</v>
      </c>
      <c r="B31" s="19" t="s">
        <v>36</v>
      </c>
      <c r="C31" s="19" t="s">
        <v>648</v>
      </c>
      <c r="D31" s="21">
        <v>-4.2869089999999996</v>
      </c>
      <c r="E31" s="21">
        <v>-38.934477999999999</v>
      </c>
      <c r="F31" s="20">
        <v>46104</v>
      </c>
      <c r="G31" s="20">
        <f>F31+2</f>
        <v>46106</v>
      </c>
      <c r="H31" s="12">
        <v>582</v>
      </c>
      <c r="I31" s="12">
        <v>852</v>
      </c>
      <c r="J31" s="12">
        <v>19</v>
      </c>
      <c r="K31" s="12">
        <v>87</v>
      </c>
      <c r="L31" s="12">
        <v>6</v>
      </c>
      <c r="M31" s="12">
        <v>6</v>
      </c>
      <c r="N31" s="12">
        <v>14</v>
      </c>
      <c r="O31" s="12">
        <v>0</v>
      </c>
      <c r="P31" s="12">
        <v>0</v>
      </c>
      <c r="Q31" s="12">
        <v>0</v>
      </c>
      <c r="R31" s="12">
        <v>0</v>
      </c>
      <c r="S31" s="12">
        <v>1</v>
      </c>
      <c r="T31" s="12">
        <v>17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3">
        <f t="shared" si="1"/>
        <v>1584</v>
      </c>
    </row>
    <row r="32" spans="1:29" ht="24.95" hidden="1" customHeight="1" x14ac:dyDescent="0.25">
      <c r="A32" s="19" t="s">
        <v>651</v>
      </c>
      <c r="B32" s="19" t="s">
        <v>174</v>
      </c>
      <c r="C32" s="19" t="s">
        <v>652</v>
      </c>
      <c r="D32" s="21"/>
      <c r="E32" s="21"/>
      <c r="F32" s="20"/>
      <c r="G32" s="20">
        <f t="shared" si="0"/>
        <v>2</v>
      </c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3">
        <f t="shared" si="1"/>
        <v>0</v>
      </c>
    </row>
    <row r="33" spans="1:29" ht="24.95" hidden="1" customHeight="1" x14ac:dyDescent="0.25">
      <c r="A33" s="19" t="s">
        <v>656</v>
      </c>
      <c r="B33" s="19" t="s">
        <v>174</v>
      </c>
      <c r="C33" s="19" t="s">
        <v>657</v>
      </c>
      <c r="D33" s="24">
        <v>-2.8945319999999999</v>
      </c>
      <c r="E33" s="24">
        <v>-40.225693999999997</v>
      </c>
      <c r="F33" s="20">
        <v>46156</v>
      </c>
      <c r="G33" s="20">
        <f t="shared" si="0"/>
        <v>46158</v>
      </c>
      <c r="H33" s="12">
        <v>924</v>
      </c>
      <c r="I33" s="12">
        <v>2796</v>
      </c>
      <c r="J33" s="12">
        <v>103</v>
      </c>
      <c r="K33" s="12">
        <v>430</v>
      </c>
      <c r="L33" s="12">
        <v>187</v>
      </c>
      <c r="M33" s="12">
        <v>34</v>
      </c>
      <c r="N33" s="12">
        <v>27</v>
      </c>
      <c r="O33" s="12">
        <v>4</v>
      </c>
      <c r="P33" s="12">
        <v>4</v>
      </c>
      <c r="Q33" s="12">
        <v>8</v>
      </c>
      <c r="R33" s="12">
        <v>10</v>
      </c>
      <c r="S33" s="12">
        <v>5</v>
      </c>
      <c r="T33" s="12">
        <v>62</v>
      </c>
      <c r="U33" s="12">
        <v>3</v>
      </c>
      <c r="V33" s="12">
        <v>1</v>
      </c>
      <c r="W33" s="12">
        <v>9</v>
      </c>
      <c r="X33" s="12">
        <v>0</v>
      </c>
      <c r="Y33" s="12">
        <v>1</v>
      </c>
      <c r="Z33" s="12">
        <v>7</v>
      </c>
      <c r="AA33" s="12">
        <v>14</v>
      </c>
      <c r="AB33" s="12">
        <v>7</v>
      </c>
      <c r="AC33" s="13">
        <f t="shared" si="1"/>
        <v>4636</v>
      </c>
    </row>
    <row r="34" spans="1:29" ht="24.95" hidden="1" customHeight="1" x14ac:dyDescent="0.25">
      <c r="A34" s="19" t="s">
        <v>661</v>
      </c>
      <c r="B34" s="19" t="s">
        <v>25</v>
      </c>
      <c r="C34" s="19" t="s">
        <v>662</v>
      </c>
      <c r="D34" s="21">
        <v>-4.5809499999999996</v>
      </c>
      <c r="E34" s="21">
        <v>-37.849559999999997</v>
      </c>
      <c r="F34" s="20">
        <v>46173</v>
      </c>
      <c r="G34" s="20">
        <v>46175</v>
      </c>
      <c r="H34" s="12">
        <v>422</v>
      </c>
      <c r="I34" s="12">
        <v>2047</v>
      </c>
      <c r="J34" s="12">
        <v>41</v>
      </c>
      <c r="K34" s="12">
        <v>270</v>
      </c>
      <c r="L34" s="12">
        <v>59</v>
      </c>
      <c r="M34" s="12">
        <v>18</v>
      </c>
      <c r="N34" s="12">
        <v>6</v>
      </c>
      <c r="O34" s="12">
        <v>0</v>
      </c>
      <c r="P34" s="12">
        <v>0</v>
      </c>
      <c r="Q34" s="12">
        <v>6</v>
      </c>
      <c r="R34" s="12">
        <v>4</v>
      </c>
      <c r="S34" s="12">
        <v>2</v>
      </c>
      <c r="T34" s="12">
        <v>16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2</v>
      </c>
      <c r="AB34" s="12">
        <v>0</v>
      </c>
      <c r="AC34" s="13">
        <f t="shared" si="1"/>
        <v>2893</v>
      </c>
    </row>
    <row r="35" spans="1:29" ht="24.95" hidden="1" customHeight="1" x14ac:dyDescent="0.25">
      <c r="A35" s="19" t="s">
        <v>665</v>
      </c>
      <c r="B35" s="19" t="s">
        <v>191</v>
      </c>
      <c r="C35" s="19" t="s">
        <v>666</v>
      </c>
      <c r="D35" s="21"/>
      <c r="E35" s="21"/>
      <c r="F35" s="20"/>
      <c r="G35" s="20">
        <f t="shared" si="0"/>
        <v>2</v>
      </c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3">
        <f t="shared" si="1"/>
        <v>0</v>
      </c>
    </row>
    <row r="36" spans="1:29" ht="24.95" hidden="1" customHeight="1" x14ac:dyDescent="0.25">
      <c r="A36" s="19" t="s">
        <v>670</v>
      </c>
      <c r="B36" s="19" t="s">
        <v>191</v>
      </c>
      <c r="C36" s="19" t="s">
        <v>671</v>
      </c>
      <c r="D36" s="24">
        <v>-5.4253080000000002</v>
      </c>
      <c r="E36" s="24">
        <v>-38.218938999999999</v>
      </c>
      <c r="F36" s="20">
        <v>46167</v>
      </c>
      <c r="G36" s="20">
        <f t="shared" si="0"/>
        <v>46169</v>
      </c>
      <c r="H36" s="12">
        <v>138</v>
      </c>
      <c r="I36" s="12">
        <v>1469</v>
      </c>
      <c r="J36" s="12">
        <v>42</v>
      </c>
      <c r="K36" s="12">
        <v>235</v>
      </c>
      <c r="L36" s="12">
        <v>26</v>
      </c>
      <c r="M36" s="12">
        <v>23</v>
      </c>
      <c r="N36" s="12">
        <v>0</v>
      </c>
      <c r="O36" s="12">
        <v>0</v>
      </c>
      <c r="P36" s="12">
        <v>3</v>
      </c>
      <c r="Q36" s="12">
        <v>4</v>
      </c>
      <c r="R36" s="12">
        <v>0</v>
      </c>
      <c r="S36" s="12">
        <v>0</v>
      </c>
      <c r="T36" s="12">
        <v>9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4</v>
      </c>
      <c r="AA36" s="12">
        <v>0</v>
      </c>
      <c r="AB36" s="12">
        <v>0</v>
      </c>
      <c r="AC36" s="13">
        <f t="shared" si="1"/>
        <v>1953</v>
      </c>
    </row>
    <row r="37" spans="1:29" ht="24.95" hidden="1" customHeight="1" x14ac:dyDescent="0.25">
      <c r="A37" s="19" t="s">
        <v>675</v>
      </c>
      <c r="B37" s="19" t="s">
        <v>676</v>
      </c>
      <c r="C37" s="19" t="s">
        <v>677</v>
      </c>
      <c r="D37" s="21"/>
      <c r="E37" s="21"/>
      <c r="F37" s="20"/>
      <c r="G37" s="20">
        <f t="shared" si="0"/>
        <v>2</v>
      </c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3">
        <f t="shared" si="1"/>
        <v>0</v>
      </c>
    </row>
    <row r="38" spans="1:29" ht="24.95" hidden="1" customHeight="1" x14ac:dyDescent="0.25">
      <c r="A38" s="19" t="s">
        <v>681</v>
      </c>
      <c r="B38" s="19" t="s">
        <v>676</v>
      </c>
      <c r="C38" s="19" t="s">
        <v>682</v>
      </c>
      <c r="D38" s="21"/>
      <c r="E38" s="21"/>
      <c r="F38" s="20"/>
      <c r="G38" s="20">
        <f t="shared" si="0"/>
        <v>2</v>
      </c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3">
        <f t="shared" si="1"/>
        <v>0</v>
      </c>
    </row>
    <row r="39" spans="1:29" ht="24.95" hidden="1" customHeight="1" x14ac:dyDescent="0.25">
      <c r="A39" s="19" t="s">
        <v>686</v>
      </c>
      <c r="B39" s="19" t="s">
        <v>687</v>
      </c>
      <c r="C39" s="19" t="s">
        <v>688</v>
      </c>
      <c r="D39" s="24">
        <v>-3.6789869999999998</v>
      </c>
      <c r="E39" s="24">
        <v>-38.909970999999999</v>
      </c>
      <c r="F39" s="20">
        <v>46177</v>
      </c>
      <c r="G39" s="20">
        <f t="shared" si="0"/>
        <v>46179</v>
      </c>
      <c r="H39" s="12">
        <v>312</v>
      </c>
      <c r="I39" s="12">
        <v>915</v>
      </c>
      <c r="J39" s="12">
        <v>15</v>
      </c>
      <c r="K39" s="12">
        <v>190</v>
      </c>
      <c r="L39" s="12">
        <v>49</v>
      </c>
      <c r="M39" s="12">
        <v>8</v>
      </c>
      <c r="N39" s="12">
        <v>4</v>
      </c>
      <c r="O39" s="12">
        <v>3</v>
      </c>
      <c r="P39" s="12">
        <v>0</v>
      </c>
      <c r="Q39" s="12">
        <v>8</v>
      </c>
      <c r="R39" s="12">
        <v>9</v>
      </c>
      <c r="S39" s="12">
        <v>0</v>
      </c>
      <c r="T39" s="12">
        <v>11</v>
      </c>
      <c r="U39" s="12">
        <v>0</v>
      </c>
      <c r="V39" s="12">
        <v>0</v>
      </c>
      <c r="W39" s="12">
        <v>1</v>
      </c>
      <c r="X39" s="12">
        <v>0</v>
      </c>
      <c r="Y39" s="12">
        <v>0</v>
      </c>
      <c r="Z39" s="12">
        <v>2</v>
      </c>
      <c r="AA39" s="12">
        <v>0</v>
      </c>
      <c r="AB39" s="12">
        <v>0</v>
      </c>
      <c r="AC39" s="13">
        <f t="shared" si="1"/>
        <v>1527</v>
      </c>
    </row>
    <row r="40" spans="1:29" ht="24.95" hidden="1" customHeight="1" x14ac:dyDescent="0.25">
      <c r="A40" s="19" t="s">
        <v>692</v>
      </c>
      <c r="B40" s="19" t="s">
        <v>693</v>
      </c>
      <c r="C40" s="19" t="s">
        <v>694</v>
      </c>
      <c r="D40" s="21">
        <v>-4.1621629999999996</v>
      </c>
      <c r="E40" s="21">
        <v>-39.152894000000003</v>
      </c>
      <c r="F40" s="20">
        <v>46197</v>
      </c>
      <c r="G40" s="20">
        <f t="shared" si="0"/>
        <v>46199</v>
      </c>
      <c r="H40" s="12">
        <v>312</v>
      </c>
      <c r="I40" s="12">
        <v>875</v>
      </c>
      <c r="J40" s="12">
        <v>15</v>
      </c>
      <c r="K40" s="12">
        <v>134</v>
      </c>
      <c r="L40" s="12">
        <v>20</v>
      </c>
      <c r="M40" s="12">
        <v>7</v>
      </c>
      <c r="N40" s="12">
        <v>1</v>
      </c>
      <c r="O40" s="12">
        <v>0</v>
      </c>
      <c r="P40" s="12">
        <v>0</v>
      </c>
      <c r="Q40" s="12">
        <v>0</v>
      </c>
      <c r="R40" s="12">
        <v>0</v>
      </c>
      <c r="S40" s="12">
        <v>2</v>
      </c>
      <c r="T40" s="12">
        <v>14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3">
        <f t="shared" si="1"/>
        <v>1380</v>
      </c>
    </row>
    <row r="41" spans="1:29" ht="24.95" hidden="1" customHeight="1" x14ac:dyDescent="0.25">
      <c r="A41" s="19" t="s">
        <v>696</v>
      </c>
      <c r="B41" s="19" t="s">
        <v>697</v>
      </c>
      <c r="C41" s="19" t="s">
        <v>698</v>
      </c>
      <c r="D41" s="21"/>
      <c r="E41" s="21"/>
      <c r="F41" s="20"/>
      <c r="G41" s="20">
        <f t="shared" si="0"/>
        <v>2</v>
      </c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3">
        <f t="shared" si="1"/>
        <v>0</v>
      </c>
    </row>
    <row r="42" spans="1:29" ht="24.95" hidden="1" customHeight="1" x14ac:dyDescent="0.25">
      <c r="A42" s="19" t="s">
        <v>702</v>
      </c>
      <c r="B42" s="19" t="s">
        <v>197</v>
      </c>
      <c r="C42" s="19" t="s">
        <v>703</v>
      </c>
      <c r="D42" s="24" t="s">
        <v>829</v>
      </c>
      <c r="E42" s="24" t="s">
        <v>830</v>
      </c>
      <c r="F42" s="20">
        <v>46139</v>
      </c>
      <c r="G42" s="20">
        <f t="shared" si="0"/>
        <v>46141</v>
      </c>
      <c r="H42" s="12">
        <v>1221</v>
      </c>
      <c r="I42" s="12">
        <v>751</v>
      </c>
      <c r="J42" s="12">
        <v>15</v>
      </c>
      <c r="K42" s="12">
        <v>162</v>
      </c>
      <c r="L42" s="12">
        <v>50</v>
      </c>
      <c r="M42" s="12">
        <v>8</v>
      </c>
      <c r="N42" s="12">
        <v>3</v>
      </c>
      <c r="O42" s="12">
        <v>0</v>
      </c>
      <c r="P42" s="12">
        <v>0</v>
      </c>
      <c r="Q42" s="12">
        <v>2</v>
      </c>
      <c r="R42" s="12">
        <v>0</v>
      </c>
      <c r="S42" s="12">
        <v>0</v>
      </c>
      <c r="T42" s="12">
        <v>29</v>
      </c>
      <c r="U42" s="12">
        <v>0</v>
      </c>
      <c r="V42" s="12">
        <v>0</v>
      </c>
      <c r="W42" s="12">
        <v>1</v>
      </c>
      <c r="X42" s="12">
        <v>0</v>
      </c>
      <c r="Y42" s="12">
        <v>0</v>
      </c>
      <c r="Z42" s="12">
        <v>2</v>
      </c>
      <c r="AA42" s="12">
        <v>0</v>
      </c>
      <c r="AB42" s="12">
        <v>0</v>
      </c>
      <c r="AC42" s="13">
        <f t="shared" si="1"/>
        <v>2244</v>
      </c>
    </row>
    <row r="43" spans="1:29" ht="24.95" hidden="1" customHeight="1" x14ac:dyDescent="0.25">
      <c r="A43" s="19" t="s">
        <v>707</v>
      </c>
      <c r="B43" s="19" t="s">
        <v>174</v>
      </c>
      <c r="C43" s="19" t="s">
        <v>708</v>
      </c>
      <c r="D43" s="21"/>
      <c r="E43" s="21"/>
      <c r="F43" s="20"/>
      <c r="G43" s="20">
        <f t="shared" si="0"/>
        <v>2</v>
      </c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3">
        <f t="shared" si="1"/>
        <v>0</v>
      </c>
    </row>
    <row r="44" spans="1:29" ht="24.95" hidden="1" customHeight="1" x14ac:dyDescent="0.25">
      <c r="A44" s="19" t="s">
        <v>712</v>
      </c>
      <c r="B44" s="19" t="s">
        <v>266</v>
      </c>
      <c r="C44" s="19" t="s">
        <v>713</v>
      </c>
      <c r="D44" s="21"/>
      <c r="E44" s="21"/>
      <c r="F44" s="20"/>
      <c r="G44" s="20">
        <f t="shared" si="0"/>
        <v>2</v>
      </c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3">
        <f t="shared" si="1"/>
        <v>0</v>
      </c>
    </row>
    <row r="45" spans="1:29" ht="24.95" hidden="1" customHeight="1" x14ac:dyDescent="0.25">
      <c r="A45" s="19" t="s">
        <v>717</v>
      </c>
      <c r="B45" s="19" t="s">
        <v>48</v>
      </c>
      <c r="C45" s="19" t="s">
        <v>718</v>
      </c>
      <c r="D45" s="24" t="s">
        <v>853</v>
      </c>
      <c r="E45" s="24" t="s">
        <v>854</v>
      </c>
      <c r="F45" s="20">
        <v>46153</v>
      </c>
      <c r="G45" s="20">
        <f t="shared" si="0"/>
        <v>46155</v>
      </c>
      <c r="H45" s="12">
        <v>2395</v>
      </c>
      <c r="I45" s="12">
        <v>4219</v>
      </c>
      <c r="J45" s="12">
        <v>318</v>
      </c>
      <c r="K45" s="12">
        <v>551</v>
      </c>
      <c r="L45" s="12">
        <v>193</v>
      </c>
      <c r="M45" s="12">
        <v>38</v>
      </c>
      <c r="N45" s="12">
        <v>55</v>
      </c>
      <c r="O45" s="12">
        <v>6</v>
      </c>
      <c r="P45" s="12">
        <v>9</v>
      </c>
      <c r="Q45" s="12">
        <v>19</v>
      </c>
      <c r="R45" s="12">
        <v>26</v>
      </c>
      <c r="S45" s="12">
        <v>5</v>
      </c>
      <c r="T45" s="12">
        <v>94</v>
      </c>
      <c r="U45" s="12">
        <v>1</v>
      </c>
      <c r="V45" s="12">
        <v>1</v>
      </c>
      <c r="W45" s="12">
        <v>6</v>
      </c>
      <c r="X45" s="12">
        <v>3</v>
      </c>
      <c r="Y45" s="12">
        <v>0</v>
      </c>
      <c r="Z45" s="12">
        <v>14</v>
      </c>
      <c r="AA45" s="12">
        <v>2</v>
      </c>
      <c r="AB45" s="12">
        <v>4</v>
      </c>
      <c r="AC45" s="13">
        <f t="shared" si="1"/>
        <v>7959</v>
      </c>
    </row>
    <row r="46" spans="1:29" ht="24.95" hidden="1" customHeight="1" x14ac:dyDescent="0.25">
      <c r="A46" s="19" t="s">
        <v>721</v>
      </c>
      <c r="B46" s="19" t="s">
        <v>241</v>
      </c>
      <c r="C46" s="19" t="s">
        <v>722</v>
      </c>
      <c r="D46" s="21">
        <v>-3.5627770000000001</v>
      </c>
      <c r="E46" s="21">
        <v>-39.970638999999998</v>
      </c>
      <c r="F46" s="20">
        <v>46208</v>
      </c>
      <c r="G46" s="20">
        <f t="shared" si="0"/>
        <v>46210</v>
      </c>
      <c r="H46" s="12">
        <v>1054</v>
      </c>
      <c r="I46" s="12">
        <v>585</v>
      </c>
      <c r="J46" s="12">
        <v>9</v>
      </c>
      <c r="K46" s="12">
        <v>62</v>
      </c>
      <c r="L46" s="12">
        <v>20</v>
      </c>
      <c r="M46" s="12">
        <v>9</v>
      </c>
      <c r="N46" s="12">
        <v>5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27</v>
      </c>
      <c r="U46" s="12">
        <v>0</v>
      </c>
      <c r="V46" s="12">
        <v>0</v>
      </c>
      <c r="W46" s="12">
        <v>2</v>
      </c>
      <c r="X46" s="12">
        <v>0</v>
      </c>
      <c r="Y46" s="12">
        <v>0</v>
      </c>
      <c r="Z46" s="12">
        <v>1</v>
      </c>
      <c r="AA46" s="12">
        <v>0</v>
      </c>
      <c r="AB46" s="12">
        <v>0</v>
      </c>
      <c r="AC46" s="13">
        <f t="shared" si="1"/>
        <v>1774</v>
      </c>
    </row>
    <row r="47" spans="1:29" ht="24.95" hidden="1" customHeight="1" x14ac:dyDescent="0.25">
      <c r="A47" s="19" t="s">
        <v>726</v>
      </c>
      <c r="B47" s="19" t="s">
        <v>136</v>
      </c>
      <c r="C47" s="19" t="s">
        <v>727</v>
      </c>
      <c r="D47" s="21">
        <v>-5.4055679999999997</v>
      </c>
      <c r="E47" s="21">
        <v>-40.298172000000001</v>
      </c>
      <c r="F47" s="20">
        <v>46125</v>
      </c>
      <c r="G47" s="20">
        <f t="shared" si="0"/>
        <v>46127</v>
      </c>
      <c r="H47" s="12">
        <v>1093</v>
      </c>
      <c r="I47" s="12">
        <v>897</v>
      </c>
      <c r="J47" s="12">
        <v>45</v>
      </c>
      <c r="K47" s="12">
        <v>190</v>
      </c>
      <c r="L47" s="12">
        <v>80</v>
      </c>
      <c r="M47" s="12">
        <v>13</v>
      </c>
      <c r="N47" s="12">
        <v>14</v>
      </c>
      <c r="O47" s="12">
        <v>2</v>
      </c>
      <c r="P47" s="12">
        <v>0</v>
      </c>
      <c r="Q47" s="12">
        <v>3</v>
      </c>
      <c r="R47" s="12">
        <v>6</v>
      </c>
      <c r="S47" s="12">
        <v>0</v>
      </c>
      <c r="T47" s="12">
        <v>20</v>
      </c>
      <c r="U47" s="12">
        <v>3</v>
      </c>
      <c r="V47" s="12">
        <v>0</v>
      </c>
      <c r="W47" s="12">
        <v>2</v>
      </c>
      <c r="X47" s="12">
        <v>0</v>
      </c>
      <c r="Y47" s="12">
        <v>0</v>
      </c>
      <c r="Z47" s="12">
        <v>26</v>
      </c>
      <c r="AA47" s="12">
        <v>8</v>
      </c>
      <c r="AB47" s="12">
        <v>27</v>
      </c>
      <c r="AC47" s="13">
        <f t="shared" si="1"/>
        <v>2429</v>
      </c>
    </row>
    <row r="48" spans="1:29" ht="24.95" hidden="1" customHeight="1" x14ac:dyDescent="0.25">
      <c r="A48" s="19" t="s">
        <v>731</v>
      </c>
      <c r="B48" s="19" t="s">
        <v>174</v>
      </c>
      <c r="C48" s="19" t="s">
        <v>732</v>
      </c>
      <c r="D48" s="24">
        <v>-2.9586229999999998</v>
      </c>
      <c r="E48" s="24">
        <v>-39.903604000000001</v>
      </c>
      <c r="F48" s="20">
        <v>46156</v>
      </c>
      <c r="G48" s="20">
        <f t="shared" si="0"/>
        <v>46158</v>
      </c>
      <c r="H48" s="12">
        <v>1697</v>
      </c>
      <c r="I48" s="12">
        <v>3111</v>
      </c>
      <c r="J48" s="12">
        <v>48</v>
      </c>
      <c r="K48" s="12">
        <v>445</v>
      </c>
      <c r="L48" s="12">
        <v>180</v>
      </c>
      <c r="M48" s="12">
        <v>15</v>
      </c>
      <c r="N48" s="12">
        <v>23</v>
      </c>
      <c r="O48" s="12">
        <v>6</v>
      </c>
      <c r="P48" s="12">
        <v>1</v>
      </c>
      <c r="Q48" s="12">
        <v>5</v>
      </c>
      <c r="R48" s="12">
        <v>5</v>
      </c>
      <c r="S48" s="12">
        <v>4</v>
      </c>
      <c r="T48" s="12">
        <v>102</v>
      </c>
      <c r="U48" s="12">
        <v>0</v>
      </c>
      <c r="V48" s="12">
        <v>1</v>
      </c>
      <c r="W48" s="12">
        <v>0</v>
      </c>
      <c r="X48" s="12">
        <v>1</v>
      </c>
      <c r="Y48" s="12">
        <v>1</v>
      </c>
      <c r="Z48" s="12">
        <v>2</v>
      </c>
      <c r="AA48" s="12">
        <v>1</v>
      </c>
      <c r="AB48" s="12">
        <v>1</v>
      </c>
      <c r="AC48" s="13">
        <f t="shared" si="1"/>
        <v>5649</v>
      </c>
    </row>
    <row r="49" spans="1:29" ht="24.95" hidden="1" customHeight="1" x14ac:dyDescent="0.25">
      <c r="A49" s="19" t="s">
        <v>736</v>
      </c>
      <c r="B49" s="19" t="s">
        <v>547</v>
      </c>
      <c r="C49" s="19" t="s">
        <v>737</v>
      </c>
      <c r="D49" s="24">
        <v>-2.92225</v>
      </c>
      <c r="E49" s="24">
        <v>-40.120244</v>
      </c>
      <c r="F49" s="20">
        <v>46156</v>
      </c>
      <c r="G49" s="20">
        <f t="shared" si="0"/>
        <v>46158</v>
      </c>
      <c r="H49" s="12">
        <v>2788</v>
      </c>
      <c r="I49" s="12">
        <v>3057</v>
      </c>
      <c r="J49" s="12">
        <v>84</v>
      </c>
      <c r="K49" s="12">
        <v>381</v>
      </c>
      <c r="L49" s="12">
        <v>126</v>
      </c>
      <c r="M49" s="12">
        <v>38</v>
      </c>
      <c r="N49" s="12">
        <v>40</v>
      </c>
      <c r="O49" s="12">
        <v>6</v>
      </c>
      <c r="P49" s="12">
        <v>3</v>
      </c>
      <c r="Q49" s="12">
        <v>13</v>
      </c>
      <c r="R49" s="12">
        <v>13</v>
      </c>
      <c r="S49" s="12">
        <v>1</v>
      </c>
      <c r="T49" s="12">
        <v>77</v>
      </c>
      <c r="U49" s="12">
        <v>2</v>
      </c>
      <c r="V49" s="12">
        <v>3</v>
      </c>
      <c r="W49" s="12">
        <v>5</v>
      </c>
      <c r="X49" s="12">
        <v>2</v>
      </c>
      <c r="Y49" s="12">
        <v>2</v>
      </c>
      <c r="Z49" s="12">
        <v>7</v>
      </c>
      <c r="AA49" s="12">
        <v>5</v>
      </c>
      <c r="AB49" s="12">
        <v>7</v>
      </c>
      <c r="AC49" s="13">
        <f t="shared" si="1"/>
        <v>6660</v>
      </c>
    </row>
    <row r="50" spans="1:29" ht="24.95" hidden="1" customHeight="1" x14ac:dyDescent="0.25">
      <c r="A50" s="19" t="s">
        <v>741</v>
      </c>
      <c r="B50" s="19" t="s">
        <v>48</v>
      </c>
      <c r="C50" s="19" t="s">
        <v>742</v>
      </c>
      <c r="D50" s="21">
        <v>-3.697114</v>
      </c>
      <c r="E50" s="21">
        <v>-40.304628999999998</v>
      </c>
      <c r="F50" s="20">
        <v>46119</v>
      </c>
      <c r="G50" s="20">
        <f t="shared" si="0"/>
        <v>46121</v>
      </c>
      <c r="H50" s="12">
        <v>619</v>
      </c>
      <c r="I50" s="12">
        <v>1492</v>
      </c>
      <c r="J50" s="12">
        <v>37</v>
      </c>
      <c r="K50" s="12">
        <v>184</v>
      </c>
      <c r="L50" s="12">
        <v>56</v>
      </c>
      <c r="M50" s="12">
        <v>3</v>
      </c>
      <c r="N50" s="12">
        <v>24</v>
      </c>
      <c r="O50" s="12">
        <v>8</v>
      </c>
      <c r="P50" s="12">
        <v>0</v>
      </c>
      <c r="Q50" s="12">
        <v>7</v>
      </c>
      <c r="R50" s="12">
        <v>15</v>
      </c>
      <c r="S50" s="12">
        <v>1</v>
      </c>
      <c r="T50" s="12">
        <v>31</v>
      </c>
      <c r="U50" s="12">
        <v>0</v>
      </c>
      <c r="V50" s="12">
        <v>0</v>
      </c>
      <c r="W50" s="12">
        <v>1</v>
      </c>
      <c r="X50" s="12">
        <v>1</v>
      </c>
      <c r="Y50" s="12">
        <v>0</v>
      </c>
      <c r="Z50" s="12">
        <v>1</v>
      </c>
      <c r="AA50" s="12">
        <v>1</v>
      </c>
      <c r="AB50" s="12">
        <v>2</v>
      </c>
      <c r="AC50" s="13">
        <f t="shared" si="1"/>
        <v>2483</v>
      </c>
    </row>
    <row r="51" spans="1:29" ht="24.95" hidden="1" customHeight="1" x14ac:dyDescent="0.25">
      <c r="A51" s="19" t="s">
        <v>745</v>
      </c>
      <c r="B51" s="19" t="s">
        <v>58</v>
      </c>
      <c r="C51" s="19" t="s">
        <v>746</v>
      </c>
      <c r="D51" s="21">
        <v>-3.7188409999999998</v>
      </c>
      <c r="E51" s="21">
        <v>-40.335732</v>
      </c>
      <c r="F51" s="20">
        <v>46119</v>
      </c>
      <c r="G51" s="20">
        <f t="shared" si="0"/>
        <v>46121</v>
      </c>
      <c r="H51" s="12">
        <v>1556</v>
      </c>
      <c r="I51" s="12">
        <v>2206</v>
      </c>
      <c r="J51" s="12">
        <v>29</v>
      </c>
      <c r="K51" s="12">
        <v>294</v>
      </c>
      <c r="L51" s="12">
        <v>63</v>
      </c>
      <c r="M51" s="12">
        <v>11</v>
      </c>
      <c r="N51" s="12">
        <v>31</v>
      </c>
      <c r="O51" s="12">
        <v>2</v>
      </c>
      <c r="P51" s="12">
        <v>0</v>
      </c>
      <c r="Q51" s="12">
        <v>4</v>
      </c>
      <c r="R51" s="12">
        <v>0</v>
      </c>
      <c r="S51" s="12">
        <v>2</v>
      </c>
      <c r="T51" s="12">
        <v>46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9</v>
      </c>
      <c r="AA51" s="12">
        <v>3</v>
      </c>
      <c r="AB51" s="12">
        <v>7</v>
      </c>
      <c r="AC51" s="13">
        <f t="shared" si="1"/>
        <v>4263</v>
      </c>
    </row>
    <row r="52" spans="1:29" ht="24.95" hidden="1" customHeight="1" x14ac:dyDescent="0.25">
      <c r="A52" s="19" t="s">
        <v>750</v>
      </c>
      <c r="B52" s="19" t="s">
        <v>595</v>
      </c>
      <c r="C52" s="19" t="s">
        <v>751</v>
      </c>
      <c r="D52" s="21">
        <v>-4.0396409999999996</v>
      </c>
      <c r="E52" s="21">
        <v>-40.473917999999998</v>
      </c>
      <c r="F52" s="20">
        <v>46205</v>
      </c>
      <c r="G52" s="20">
        <f t="shared" si="0"/>
        <v>46207</v>
      </c>
      <c r="H52" s="12">
        <v>417</v>
      </c>
      <c r="I52" s="12">
        <v>1660</v>
      </c>
      <c r="J52" s="12">
        <v>8</v>
      </c>
      <c r="K52" s="12">
        <v>346</v>
      </c>
      <c r="L52" s="12">
        <v>64</v>
      </c>
      <c r="M52" s="12">
        <v>7</v>
      </c>
      <c r="N52" s="12">
        <v>5</v>
      </c>
      <c r="O52" s="12">
        <v>0</v>
      </c>
      <c r="P52" s="12">
        <v>1</v>
      </c>
      <c r="Q52" s="12">
        <v>2</v>
      </c>
      <c r="R52" s="12">
        <v>2</v>
      </c>
      <c r="S52" s="12">
        <v>2</v>
      </c>
      <c r="T52" s="12">
        <v>24</v>
      </c>
      <c r="U52" s="12">
        <v>0</v>
      </c>
      <c r="V52" s="12">
        <v>0</v>
      </c>
      <c r="W52" s="12">
        <v>1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3">
        <f t="shared" si="1"/>
        <v>2539</v>
      </c>
    </row>
    <row r="53" spans="1:29" ht="24.95" hidden="1" customHeight="1" x14ac:dyDescent="0.25">
      <c r="A53" s="19" t="s">
        <v>754</v>
      </c>
      <c r="B53" s="19" t="s">
        <v>208</v>
      </c>
      <c r="C53" s="19" t="s">
        <v>755</v>
      </c>
      <c r="D53" s="24">
        <v>-4.1137740000000003</v>
      </c>
      <c r="E53" s="24">
        <v>-40.863508000000003</v>
      </c>
      <c r="F53" s="20">
        <v>46194</v>
      </c>
      <c r="G53" s="20">
        <f t="shared" si="0"/>
        <v>46196</v>
      </c>
      <c r="H53" s="12">
        <v>517</v>
      </c>
      <c r="I53" s="12">
        <v>1985</v>
      </c>
      <c r="J53" s="12">
        <v>78</v>
      </c>
      <c r="K53" s="12">
        <v>336</v>
      </c>
      <c r="L53" s="12">
        <v>53</v>
      </c>
      <c r="M53" s="12">
        <v>0</v>
      </c>
      <c r="N53" s="12">
        <v>13</v>
      </c>
      <c r="O53" s="12">
        <v>0</v>
      </c>
      <c r="P53" s="12">
        <v>0</v>
      </c>
      <c r="Q53" s="12">
        <v>0</v>
      </c>
      <c r="R53" s="12">
        <v>1</v>
      </c>
      <c r="S53" s="12">
        <v>0</v>
      </c>
      <c r="T53" s="12">
        <v>24</v>
      </c>
      <c r="U53" s="12">
        <v>0</v>
      </c>
      <c r="V53" s="12">
        <v>1</v>
      </c>
      <c r="W53" s="12">
        <v>0</v>
      </c>
      <c r="X53" s="12">
        <v>0</v>
      </c>
      <c r="Y53" s="12">
        <v>1</v>
      </c>
      <c r="Z53" s="12">
        <v>1</v>
      </c>
      <c r="AA53" s="12">
        <v>0</v>
      </c>
      <c r="AB53" s="12">
        <v>1</v>
      </c>
      <c r="AC53" s="13">
        <f t="shared" si="1"/>
        <v>3011</v>
      </c>
    </row>
    <row r="54" spans="1:29" ht="24.95" hidden="1" customHeight="1" x14ac:dyDescent="0.25">
      <c r="A54" s="19" t="s">
        <v>759</v>
      </c>
      <c r="B54" s="19" t="s">
        <v>606</v>
      </c>
      <c r="C54" s="19" t="s">
        <v>760</v>
      </c>
      <c r="D54" s="21">
        <v>-4.5583349999999996</v>
      </c>
      <c r="E54" s="21">
        <v>-40.729585999999998</v>
      </c>
      <c r="F54" s="20">
        <v>46131</v>
      </c>
      <c r="G54" s="20">
        <f t="shared" si="0"/>
        <v>46133</v>
      </c>
      <c r="H54" s="12">
        <v>877</v>
      </c>
      <c r="I54" s="12">
        <v>567</v>
      </c>
      <c r="J54" s="12">
        <v>17</v>
      </c>
      <c r="K54" s="12">
        <v>61</v>
      </c>
      <c r="L54" s="12">
        <v>4</v>
      </c>
      <c r="M54" s="12">
        <v>2</v>
      </c>
      <c r="N54" s="12">
        <v>4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28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3">
        <f t="shared" si="1"/>
        <v>1560</v>
      </c>
    </row>
    <row r="55" spans="1:29" ht="24.95" hidden="1" customHeight="1" x14ac:dyDescent="0.25">
      <c r="A55" s="19" t="s">
        <v>764</v>
      </c>
      <c r="B55" s="19" t="s">
        <v>606</v>
      </c>
      <c r="C55" s="19" t="s">
        <v>765</v>
      </c>
      <c r="D55" s="21">
        <v>-5.1463979999999996</v>
      </c>
      <c r="E55" s="21">
        <v>-40.670636000000002</v>
      </c>
      <c r="F55" s="20">
        <v>46125</v>
      </c>
      <c r="G55" s="20">
        <f t="shared" si="0"/>
        <v>46127</v>
      </c>
      <c r="H55" s="12">
        <v>715</v>
      </c>
      <c r="I55" s="12">
        <v>868</v>
      </c>
      <c r="J55" s="12">
        <v>13</v>
      </c>
      <c r="K55" s="12">
        <v>186</v>
      </c>
      <c r="L55" s="12">
        <v>48</v>
      </c>
      <c r="M55" s="12">
        <v>6</v>
      </c>
      <c r="N55" s="12">
        <v>6</v>
      </c>
      <c r="O55" s="12">
        <v>0</v>
      </c>
      <c r="P55" s="12">
        <v>0</v>
      </c>
      <c r="Q55" s="12">
        <v>0</v>
      </c>
      <c r="R55" s="12">
        <v>1</v>
      </c>
      <c r="S55" s="12">
        <v>0</v>
      </c>
      <c r="T55" s="12">
        <v>21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>
        <v>0</v>
      </c>
      <c r="AB55" s="12">
        <v>0</v>
      </c>
      <c r="AC55" s="13">
        <f t="shared" si="1"/>
        <v>1864</v>
      </c>
    </row>
    <row r="56" spans="1:29" ht="24.95" hidden="1" customHeight="1" x14ac:dyDescent="0.25">
      <c r="A56" s="19" t="s">
        <v>769</v>
      </c>
      <c r="B56" s="19" t="s">
        <v>770</v>
      </c>
      <c r="C56" s="19" t="s">
        <v>771</v>
      </c>
      <c r="D56" s="24">
        <v>-4.1471960000000001</v>
      </c>
      <c r="E56" s="24">
        <v>-40.945563999999997</v>
      </c>
      <c r="F56" s="20">
        <v>46194</v>
      </c>
      <c r="G56" s="20">
        <f t="shared" si="0"/>
        <v>46196</v>
      </c>
      <c r="H56" s="12">
        <v>460</v>
      </c>
      <c r="I56" s="12">
        <v>530</v>
      </c>
      <c r="J56" s="12">
        <v>1</v>
      </c>
      <c r="K56" s="12">
        <v>14</v>
      </c>
      <c r="L56" s="12">
        <v>1</v>
      </c>
      <c r="M56" s="12">
        <v>1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9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3">
        <f t="shared" si="1"/>
        <v>1016</v>
      </c>
    </row>
    <row r="57" spans="1:29" ht="24.95" hidden="1" customHeight="1" x14ac:dyDescent="0.25">
      <c r="A57" s="19" t="s">
        <v>775</v>
      </c>
      <c r="B57" s="19" t="s">
        <v>776</v>
      </c>
      <c r="C57" s="19" t="s">
        <v>777</v>
      </c>
      <c r="D57" s="24" t="s">
        <v>863</v>
      </c>
      <c r="E57" s="24" t="s">
        <v>864</v>
      </c>
      <c r="F57" s="20">
        <v>46159</v>
      </c>
      <c r="G57" s="20">
        <f t="shared" si="0"/>
        <v>46161</v>
      </c>
      <c r="H57" s="12">
        <v>1852</v>
      </c>
      <c r="I57" s="12">
        <v>963</v>
      </c>
      <c r="J57" s="12">
        <v>7</v>
      </c>
      <c r="K57" s="12">
        <v>72</v>
      </c>
      <c r="L57" s="12">
        <v>6</v>
      </c>
      <c r="M57" s="12">
        <v>7</v>
      </c>
      <c r="N57" s="12">
        <v>5</v>
      </c>
      <c r="O57" s="12">
        <v>0</v>
      </c>
      <c r="P57" s="12">
        <v>1</v>
      </c>
      <c r="Q57" s="12">
        <v>0</v>
      </c>
      <c r="R57" s="12">
        <v>0</v>
      </c>
      <c r="S57" s="12">
        <v>1</v>
      </c>
      <c r="T57" s="12">
        <v>38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0</v>
      </c>
      <c r="AB57" s="12">
        <v>0</v>
      </c>
      <c r="AC57" s="13">
        <f t="shared" si="1"/>
        <v>2952</v>
      </c>
    </row>
    <row r="58" spans="1:29" ht="24.95" hidden="1" customHeight="1" x14ac:dyDescent="0.25">
      <c r="A58" s="19" t="s">
        <v>781</v>
      </c>
      <c r="B58" s="19" t="s">
        <v>776</v>
      </c>
      <c r="C58" s="19" t="s">
        <v>782</v>
      </c>
      <c r="D58" s="24" t="s">
        <v>865</v>
      </c>
      <c r="E58" s="24" t="s">
        <v>866</v>
      </c>
      <c r="F58" s="20">
        <v>46159</v>
      </c>
      <c r="G58" s="20">
        <f t="shared" si="0"/>
        <v>46161</v>
      </c>
      <c r="H58" s="12">
        <v>881</v>
      </c>
      <c r="I58" s="12">
        <v>486</v>
      </c>
      <c r="J58" s="12">
        <v>1</v>
      </c>
      <c r="K58" s="12">
        <v>28</v>
      </c>
      <c r="L58" s="12">
        <v>2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16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3">
        <f t="shared" si="1"/>
        <v>1414</v>
      </c>
    </row>
    <row r="59" spans="1:29" ht="24.95" hidden="1" customHeight="1" x14ac:dyDescent="0.25">
      <c r="A59" s="19" t="s">
        <v>786</v>
      </c>
      <c r="B59" s="19" t="s">
        <v>48</v>
      </c>
      <c r="C59" s="19" t="s">
        <v>787</v>
      </c>
      <c r="D59" s="24" t="s">
        <v>867</v>
      </c>
      <c r="E59" s="24" t="s">
        <v>868</v>
      </c>
      <c r="F59" s="20">
        <v>46159</v>
      </c>
      <c r="G59" s="20">
        <f t="shared" si="0"/>
        <v>46161</v>
      </c>
      <c r="H59" s="12">
        <v>2639</v>
      </c>
      <c r="I59" s="12">
        <v>1245</v>
      </c>
      <c r="J59" s="12">
        <v>5</v>
      </c>
      <c r="K59" s="12">
        <v>47</v>
      </c>
      <c r="L59" s="12">
        <v>3</v>
      </c>
      <c r="M59" s="12">
        <v>8</v>
      </c>
      <c r="N59" s="12">
        <v>2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49</v>
      </c>
      <c r="U59" s="12">
        <v>0</v>
      </c>
      <c r="V59" s="12">
        <v>1</v>
      </c>
      <c r="W59" s="12">
        <v>0</v>
      </c>
      <c r="X59" s="12">
        <v>0</v>
      </c>
      <c r="Y59" s="12">
        <v>0</v>
      </c>
      <c r="Z59" s="12">
        <v>0</v>
      </c>
      <c r="AA59" s="12">
        <v>0</v>
      </c>
      <c r="AB59" s="12">
        <v>0</v>
      </c>
      <c r="AC59" s="13">
        <f t="shared" si="1"/>
        <v>3999</v>
      </c>
    </row>
    <row r="60" spans="1:29" ht="24.95" hidden="1" customHeight="1" x14ac:dyDescent="0.25">
      <c r="A60" s="19" t="s">
        <v>313</v>
      </c>
      <c r="B60" s="19" t="s">
        <v>148</v>
      </c>
      <c r="C60" s="19" t="s">
        <v>314</v>
      </c>
      <c r="D60" s="21">
        <v>-4.228675</v>
      </c>
      <c r="E60" s="21">
        <v>-38.906652000000001</v>
      </c>
      <c r="F60" s="20">
        <v>46104</v>
      </c>
      <c r="G60" s="20">
        <f t="shared" si="0"/>
        <v>46106</v>
      </c>
      <c r="H60" s="12">
        <v>1413</v>
      </c>
      <c r="I60" s="12">
        <v>1100</v>
      </c>
      <c r="J60" s="12">
        <v>0</v>
      </c>
      <c r="K60" s="12">
        <v>20</v>
      </c>
      <c r="L60" s="12">
        <v>3</v>
      </c>
      <c r="M60" s="12">
        <v>0</v>
      </c>
      <c r="N60" s="12">
        <v>4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27</v>
      </c>
      <c r="U60" s="12">
        <v>0</v>
      </c>
      <c r="V60" s="12">
        <v>0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3">
        <f t="shared" si="1"/>
        <v>2567</v>
      </c>
    </row>
    <row r="61" spans="1:29" ht="24.95" hidden="1" customHeight="1" x14ac:dyDescent="0.25">
      <c r="A61" s="19" t="s">
        <v>318</v>
      </c>
      <c r="B61" s="19" t="s">
        <v>148</v>
      </c>
      <c r="C61" s="19" t="s">
        <v>319</v>
      </c>
      <c r="D61" s="21">
        <v>-3.910955</v>
      </c>
      <c r="E61" s="21">
        <v>-40.392012999999999</v>
      </c>
      <c r="F61" s="20">
        <v>46205</v>
      </c>
      <c r="G61" s="20">
        <f t="shared" si="0"/>
        <v>46207</v>
      </c>
      <c r="H61" s="12">
        <v>604</v>
      </c>
      <c r="I61" s="12">
        <v>602</v>
      </c>
      <c r="J61" s="12">
        <v>17</v>
      </c>
      <c r="K61" s="12">
        <v>108</v>
      </c>
      <c r="L61" s="12">
        <v>25</v>
      </c>
      <c r="M61" s="12">
        <v>8</v>
      </c>
      <c r="N61" s="12">
        <v>2</v>
      </c>
      <c r="O61" s="12">
        <v>0</v>
      </c>
      <c r="P61" s="12">
        <v>1</v>
      </c>
      <c r="Q61" s="12">
        <v>1</v>
      </c>
      <c r="R61" s="12">
        <v>0</v>
      </c>
      <c r="S61" s="12">
        <v>0</v>
      </c>
      <c r="T61" s="12">
        <v>12</v>
      </c>
      <c r="U61" s="12">
        <v>0</v>
      </c>
      <c r="V61" s="12">
        <v>0</v>
      </c>
      <c r="W61" s="12">
        <v>0</v>
      </c>
      <c r="X61" s="12">
        <v>0</v>
      </c>
      <c r="Y61" s="12">
        <v>0</v>
      </c>
      <c r="Z61" s="12">
        <v>0</v>
      </c>
      <c r="AA61" s="12">
        <v>0</v>
      </c>
      <c r="AB61" s="12">
        <v>0</v>
      </c>
      <c r="AC61" s="13">
        <f t="shared" si="1"/>
        <v>1380</v>
      </c>
    </row>
    <row r="62" spans="1:29" ht="24.95" hidden="1" customHeight="1" x14ac:dyDescent="0.25">
      <c r="A62" s="19" t="s">
        <v>323</v>
      </c>
      <c r="B62" s="19" t="s">
        <v>148</v>
      </c>
      <c r="C62" s="19" t="s">
        <v>324</v>
      </c>
      <c r="D62" s="24">
        <v>-3.907435</v>
      </c>
      <c r="E62" s="24">
        <v>-40.881774999999998</v>
      </c>
      <c r="F62" s="20">
        <v>46191</v>
      </c>
      <c r="G62" s="20">
        <f t="shared" si="0"/>
        <v>46193</v>
      </c>
      <c r="H62" s="12">
        <v>559</v>
      </c>
      <c r="I62" s="12">
        <v>907</v>
      </c>
      <c r="J62" s="12">
        <v>60</v>
      </c>
      <c r="K62" s="12">
        <v>76</v>
      </c>
      <c r="L62" s="12">
        <v>0</v>
      </c>
      <c r="M62" s="12">
        <v>8</v>
      </c>
      <c r="N62" s="12">
        <v>3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18</v>
      </c>
      <c r="U62" s="12">
        <v>0</v>
      </c>
      <c r="V62" s="12">
        <v>0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3">
        <f t="shared" si="1"/>
        <v>1631</v>
      </c>
    </row>
    <row r="63" spans="1:29" ht="24.95" hidden="1" customHeight="1" x14ac:dyDescent="0.25">
      <c r="A63" s="19" t="s">
        <v>328</v>
      </c>
      <c r="B63" s="19" t="s">
        <v>87</v>
      </c>
      <c r="C63" s="19" t="s">
        <v>329</v>
      </c>
      <c r="D63" s="21">
        <v>-4.5644640000000001</v>
      </c>
      <c r="E63" s="21">
        <v>-40.746068999999999</v>
      </c>
      <c r="F63" s="20">
        <v>46131</v>
      </c>
      <c r="G63" s="20">
        <f t="shared" si="0"/>
        <v>46133</v>
      </c>
      <c r="H63" s="12">
        <v>1420</v>
      </c>
      <c r="I63" s="12">
        <v>1421</v>
      </c>
      <c r="J63" s="12">
        <v>2</v>
      </c>
      <c r="K63" s="12">
        <v>5</v>
      </c>
      <c r="L63" s="12">
        <v>15</v>
      </c>
      <c r="M63" s="12">
        <v>1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41</v>
      </c>
      <c r="U63" s="12">
        <v>1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3">
        <f t="shared" si="1"/>
        <v>2906</v>
      </c>
    </row>
    <row r="64" spans="1:29" ht="24.95" hidden="1" customHeight="1" x14ac:dyDescent="0.25">
      <c r="A64" s="19" t="s">
        <v>333</v>
      </c>
      <c r="B64" s="19" t="s">
        <v>334</v>
      </c>
      <c r="C64" s="19" t="s">
        <v>335</v>
      </c>
      <c r="D64" s="21">
        <v>-4.7203499999999998</v>
      </c>
      <c r="E64" s="21">
        <v>-37.548859999999998</v>
      </c>
      <c r="F64" s="20">
        <v>46173</v>
      </c>
      <c r="G64" s="20">
        <v>46175</v>
      </c>
      <c r="H64" s="12">
        <v>191</v>
      </c>
      <c r="I64" s="12">
        <v>2297</v>
      </c>
      <c r="J64" s="12">
        <v>41</v>
      </c>
      <c r="K64" s="12">
        <v>127</v>
      </c>
      <c r="L64" s="12">
        <v>11</v>
      </c>
      <c r="M64" s="12">
        <v>14</v>
      </c>
      <c r="N64" s="12">
        <v>6</v>
      </c>
      <c r="O64" s="12">
        <v>0</v>
      </c>
      <c r="P64" s="12">
        <v>0</v>
      </c>
      <c r="Q64" s="12">
        <v>0</v>
      </c>
      <c r="R64" s="12">
        <v>3</v>
      </c>
      <c r="S64" s="12">
        <v>4</v>
      </c>
      <c r="T64" s="12">
        <v>9</v>
      </c>
      <c r="U64" s="12">
        <v>2</v>
      </c>
      <c r="V64" s="12">
        <v>0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3">
        <f t="shared" si="1"/>
        <v>2705</v>
      </c>
    </row>
    <row r="65" spans="1:29" ht="24.95" hidden="1" customHeight="1" x14ac:dyDescent="0.25">
      <c r="A65" s="19" t="s">
        <v>339</v>
      </c>
      <c r="B65" s="19" t="s">
        <v>340</v>
      </c>
      <c r="C65" s="19" t="s">
        <v>341</v>
      </c>
      <c r="D65" s="24">
        <v>-4.8210379999999997</v>
      </c>
      <c r="E65" s="24">
        <v>-37.875945000000002</v>
      </c>
      <c r="F65" s="20">
        <v>46170</v>
      </c>
      <c r="G65" s="20">
        <f t="shared" si="0"/>
        <v>46172</v>
      </c>
      <c r="H65" s="12">
        <v>466</v>
      </c>
      <c r="I65" s="12">
        <v>1375</v>
      </c>
      <c r="J65" s="12">
        <v>33</v>
      </c>
      <c r="K65" s="12">
        <v>346</v>
      </c>
      <c r="L65" s="12">
        <v>91</v>
      </c>
      <c r="M65" s="12">
        <v>13</v>
      </c>
      <c r="N65" s="12">
        <v>6</v>
      </c>
      <c r="O65" s="12">
        <v>4</v>
      </c>
      <c r="P65" s="12">
        <v>1</v>
      </c>
      <c r="Q65" s="12">
        <v>2</v>
      </c>
      <c r="R65" s="12">
        <v>6</v>
      </c>
      <c r="S65" s="12">
        <v>0</v>
      </c>
      <c r="T65" s="12">
        <v>20</v>
      </c>
      <c r="U65" s="12">
        <v>0</v>
      </c>
      <c r="V65" s="12">
        <v>0</v>
      </c>
      <c r="W65" s="12">
        <v>0</v>
      </c>
      <c r="X65" s="12">
        <v>0</v>
      </c>
      <c r="Y65" s="12">
        <v>0</v>
      </c>
      <c r="Z65" s="12">
        <v>1</v>
      </c>
      <c r="AA65" s="12">
        <v>1</v>
      </c>
      <c r="AB65" s="12">
        <v>0</v>
      </c>
      <c r="AC65" s="13">
        <f t="shared" si="1"/>
        <v>2365</v>
      </c>
    </row>
    <row r="66" spans="1:29" ht="24.95" hidden="1" customHeight="1" x14ac:dyDescent="0.25">
      <c r="A66" s="19" t="s">
        <v>130</v>
      </c>
      <c r="B66" s="19" t="s">
        <v>12</v>
      </c>
      <c r="C66" s="19" t="s">
        <v>131</v>
      </c>
      <c r="D66" s="21">
        <v>-4.9633900000000004</v>
      </c>
      <c r="E66" s="21">
        <v>-39.039115000000002</v>
      </c>
      <c r="F66" s="20">
        <v>46111</v>
      </c>
      <c r="G66" s="20">
        <f t="shared" si="0"/>
        <v>46113</v>
      </c>
      <c r="H66" s="12">
        <v>3057</v>
      </c>
      <c r="I66" s="12">
        <v>2082</v>
      </c>
      <c r="J66" s="12">
        <v>17</v>
      </c>
      <c r="K66" s="12">
        <v>166</v>
      </c>
      <c r="L66" s="12">
        <v>33</v>
      </c>
      <c r="M66" s="12">
        <v>20</v>
      </c>
      <c r="N66" s="12">
        <v>27</v>
      </c>
      <c r="O66" s="12">
        <v>0</v>
      </c>
      <c r="P66" s="12">
        <v>0</v>
      </c>
      <c r="Q66" s="12">
        <v>1</v>
      </c>
      <c r="R66" s="12">
        <v>0</v>
      </c>
      <c r="S66" s="12">
        <v>0</v>
      </c>
      <c r="T66" s="12">
        <v>86</v>
      </c>
      <c r="U66" s="12">
        <v>0</v>
      </c>
      <c r="V66" s="12">
        <v>0</v>
      </c>
      <c r="W66" s="12">
        <v>0</v>
      </c>
      <c r="X66" s="12">
        <v>0</v>
      </c>
      <c r="Y66" s="12">
        <v>0</v>
      </c>
      <c r="Z66" s="12">
        <v>1</v>
      </c>
      <c r="AA66" s="12">
        <v>0</v>
      </c>
      <c r="AB66" s="12">
        <v>2</v>
      </c>
      <c r="AC66" s="13">
        <f t="shared" si="1"/>
        <v>5492</v>
      </c>
    </row>
    <row r="67" spans="1:29" ht="24.95" hidden="1" customHeight="1" x14ac:dyDescent="0.25">
      <c r="A67" s="19" t="s">
        <v>345</v>
      </c>
      <c r="B67" s="19" t="s">
        <v>12</v>
      </c>
      <c r="C67" s="19" t="s">
        <v>346</v>
      </c>
      <c r="D67" s="21">
        <v>-4.702947</v>
      </c>
      <c r="E67" s="21">
        <v>-40.549087999999998</v>
      </c>
      <c r="F67" s="20">
        <v>46128</v>
      </c>
      <c r="G67" s="20">
        <f t="shared" si="0"/>
        <v>46130</v>
      </c>
      <c r="H67" s="12">
        <v>1256</v>
      </c>
      <c r="I67" s="12">
        <v>1821</v>
      </c>
      <c r="J67" s="12">
        <v>19</v>
      </c>
      <c r="K67" s="12">
        <v>139</v>
      </c>
      <c r="L67" s="12">
        <v>31</v>
      </c>
      <c r="M67" s="12">
        <v>14</v>
      </c>
      <c r="N67" s="12">
        <v>12</v>
      </c>
      <c r="O67" s="12">
        <v>0</v>
      </c>
      <c r="P67" s="12">
        <v>0</v>
      </c>
      <c r="Q67" s="12">
        <v>2</v>
      </c>
      <c r="R67" s="12">
        <v>0</v>
      </c>
      <c r="S67" s="12">
        <v>0</v>
      </c>
      <c r="T67" s="12">
        <v>36</v>
      </c>
      <c r="U67" s="12">
        <v>0</v>
      </c>
      <c r="V67" s="12">
        <v>0</v>
      </c>
      <c r="W67" s="12">
        <v>0</v>
      </c>
      <c r="X67" s="12">
        <v>0</v>
      </c>
      <c r="Y67" s="12">
        <v>0</v>
      </c>
      <c r="Z67" s="12">
        <v>0</v>
      </c>
      <c r="AA67" s="12">
        <v>0</v>
      </c>
      <c r="AB67" s="12">
        <v>0</v>
      </c>
      <c r="AC67" s="13">
        <f t="shared" si="1"/>
        <v>3330</v>
      </c>
    </row>
    <row r="68" spans="1:29" ht="24.95" hidden="1" customHeight="1" x14ac:dyDescent="0.25">
      <c r="A68" s="19" t="s">
        <v>349</v>
      </c>
      <c r="B68" s="19" t="s">
        <v>350</v>
      </c>
      <c r="C68" s="19" t="s">
        <v>351</v>
      </c>
      <c r="D68" s="24">
        <v>-5.2215020000000001</v>
      </c>
      <c r="E68" s="24">
        <v>-37.892071000000001</v>
      </c>
      <c r="F68" s="20">
        <v>46167</v>
      </c>
      <c r="G68" s="20">
        <f t="shared" si="0"/>
        <v>46169</v>
      </c>
      <c r="H68" s="12">
        <v>333</v>
      </c>
      <c r="I68" s="12">
        <v>493</v>
      </c>
      <c r="J68" s="12">
        <v>8</v>
      </c>
      <c r="K68" s="12">
        <v>49</v>
      </c>
      <c r="L68" s="12">
        <v>31</v>
      </c>
      <c r="M68" s="12">
        <v>2</v>
      </c>
      <c r="N68" s="12">
        <v>4</v>
      </c>
      <c r="O68" s="12">
        <v>1</v>
      </c>
      <c r="P68" s="12">
        <v>2</v>
      </c>
      <c r="Q68" s="12">
        <v>3</v>
      </c>
      <c r="R68" s="12">
        <v>4</v>
      </c>
      <c r="S68" s="12">
        <v>0</v>
      </c>
      <c r="T68" s="12">
        <v>14</v>
      </c>
      <c r="U68" s="12">
        <v>0</v>
      </c>
      <c r="V68" s="12">
        <v>0</v>
      </c>
      <c r="W68" s="12">
        <v>0</v>
      </c>
      <c r="X68" s="12">
        <v>0</v>
      </c>
      <c r="Y68" s="12">
        <v>0</v>
      </c>
      <c r="Z68" s="12">
        <v>3</v>
      </c>
      <c r="AA68" s="12">
        <v>0</v>
      </c>
      <c r="AB68" s="12">
        <v>4</v>
      </c>
      <c r="AC68" s="13">
        <f t="shared" si="1"/>
        <v>951</v>
      </c>
    </row>
    <row r="69" spans="1:29" ht="24.95" hidden="1" customHeight="1" x14ac:dyDescent="0.25">
      <c r="A69" s="19" t="s">
        <v>355</v>
      </c>
      <c r="B69" s="19" t="s">
        <v>356</v>
      </c>
      <c r="C69" s="19" t="s">
        <v>357</v>
      </c>
      <c r="D69" s="24">
        <v>-5.2506180000000002</v>
      </c>
      <c r="E69" s="24">
        <v>-38.494636999999997</v>
      </c>
      <c r="F69" s="20">
        <v>46145</v>
      </c>
      <c r="G69" s="20">
        <f t="shared" si="0"/>
        <v>46147</v>
      </c>
      <c r="H69" s="12">
        <v>342</v>
      </c>
      <c r="I69" s="12">
        <v>520</v>
      </c>
      <c r="J69" s="12">
        <v>9</v>
      </c>
      <c r="K69" s="12">
        <v>69</v>
      </c>
      <c r="L69" s="12">
        <v>13</v>
      </c>
      <c r="M69" s="12">
        <v>5</v>
      </c>
      <c r="N69" s="12">
        <v>6</v>
      </c>
      <c r="O69" s="12">
        <v>0</v>
      </c>
      <c r="P69" s="12">
        <v>0</v>
      </c>
      <c r="Q69" s="12">
        <v>2</v>
      </c>
      <c r="R69" s="12">
        <v>0</v>
      </c>
      <c r="S69" s="12">
        <v>1</v>
      </c>
      <c r="T69" s="12">
        <v>7</v>
      </c>
      <c r="U69" s="12">
        <v>1</v>
      </c>
      <c r="V69" s="12">
        <v>0</v>
      </c>
      <c r="W69" s="12">
        <v>2</v>
      </c>
      <c r="X69" s="12">
        <v>0</v>
      </c>
      <c r="Y69" s="12">
        <v>0</v>
      </c>
      <c r="Z69" s="12">
        <v>0</v>
      </c>
      <c r="AA69" s="12">
        <v>0</v>
      </c>
      <c r="AB69" s="12">
        <v>1</v>
      </c>
      <c r="AC69" s="13">
        <f t="shared" si="1"/>
        <v>978</v>
      </c>
    </row>
    <row r="70" spans="1:29" ht="24.95" hidden="1" customHeight="1" x14ac:dyDescent="0.25">
      <c r="A70" s="19" t="s">
        <v>360</v>
      </c>
      <c r="B70" s="19" t="s">
        <v>361</v>
      </c>
      <c r="C70" s="19" t="s">
        <v>362</v>
      </c>
      <c r="D70" s="24">
        <v>-5.4016780000000004</v>
      </c>
      <c r="E70" s="24">
        <v>-38.569516999999998</v>
      </c>
      <c r="F70" s="20">
        <v>46145</v>
      </c>
      <c r="G70" s="20">
        <f t="shared" ref="G70" si="3">F70+2</f>
        <v>46147</v>
      </c>
      <c r="H70" s="12">
        <v>300</v>
      </c>
      <c r="I70" s="12">
        <v>747</v>
      </c>
      <c r="J70" s="12">
        <v>13</v>
      </c>
      <c r="K70" s="12">
        <v>105</v>
      </c>
      <c r="L70" s="12">
        <v>47</v>
      </c>
      <c r="M70" s="12">
        <v>7</v>
      </c>
      <c r="N70" s="12">
        <v>6</v>
      </c>
      <c r="O70" s="12">
        <v>1</v>
      </c>
      <c r="P70" s="12">
        <v>0</v>
      </c>
      <c r="Q70" s="12">
        <v>2</v>
      </c>
      <c r="R70" s="12">
        <v>0</v>
      </c>
      <c r="S70" s="12">
        <v>1</v>
      </c>
      <c r="T70" s="12">
        <v>28</v>
      </c>
      <c r="U70" s="12">
        <v>0</v>
      </c>
      <c r="V70" s="12">
        <v>0</v>
      </c>
      <c r="W70" s="12">
        <v>0</v>
      </c>
      <c r="X70" s="12">
        <v>0</v>
      </c>
      <c r="Y70" s="12">
        <v>0</v>
      </c>
      <c r="Z70" s="12">
        <v>2</v>
      </c>
      <c r="AA70" s="12">
        <v>2</v>
      </c>
      <c r="AB70" s="12">
        <v>0</v>
      </c>
      <c r="AC70" s="13">
        <f t="shared" ref="AC70:AC133" si="4">SUM(H70:AB70)</f>
        <v>1261</v>
      </c>
    </row>
    <row r="71" spans="1:29" ht="24.95" hidden="1" customHeight="1" x14ac:dyDescent="0.25">
      <c r="A71" s="19" t="s">
        <v>366</v>
      </c>
      <c r="B71" s="19" t="s">
        <v>367</v>
      </c>
      <c r="C71" s="19" t="s">
        <v>368</v>
      </c>
      <c r="D71" s="21"/>
      <c r="E71" s="21"/>
      <c r="F71" s="20"/>
      <c r="G71" s="20">
        <f t="shared" ref="G71:G133" si="5">F71+2</f>
        <v>2</v>
      </c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3">
        <f t="shared" si="4"/>
        <v>0</v>
      </c>
    </row>
    <row r="72" spans="1:29" ht="24.95" hidden="1" customHeight="1" x14ac:dyDescent="0.25">
      <c r="A72" s="19" t="s">
        <v>372</v>
      </c>
      <c r="B72" s="19" t="s">
        <v>776</v>
      </c>
      <c r="C72" s="19" t="s">
        <v>871</v>
      </c>
      <c r="D72" s="24">
        <v>-3.569178</v>
      </c>
      <c r="E72" s="24">
        <v>-41.161022000000003</v>
      </c>
      <c r="F72" s="20">
        <v>46191</v>
      </c>
      <c r="G72" s="20">
        <f t="shared" si="5"/>
        <v>46193</v>
      </c>
      <c r="H72" s="12">
        <v>1524</v>
      </c>
      <c r="I72" s="12">
        <v>1791</v>
      </c>
      <c r="J72" s="12">
        <v>57</v>
      </c>
      <c r="K72" s="12">
        <v>239</v>
      </c>
      <c r="L72" s="12">
        <v>73</v>
      </c>
      <c r="M72" s="12">
        <v>17</v>
      </c>
      <c r="N72" s="12">
        <v>16</v>
      </c>
      <c r="O72" s="12">
        <v>1</v>
      </c>
      <c r="P72" s="12">
        <v>1</v>
      </c>
      <c r="Q72" s="12">
        <v>3</v>
      </c>
      <c r="R72" s="12">
        <v>5</v>
      </c>
      <c r="S72" s="12">
        <v>2</v>
      </c>
      <c r="T72" s="12">
        <v>50</v>
      </c>
      <c r="U72" s="12">
        <v>0</v>
      </c>
      <c r="V72" s="12">
        <v>0</v>
      </c>
      <c r="W72" s="12">
        <v>1</v>
      </c>
      <c r="X72" s="12">
        <v>0</v>
      </c>
      <c r="Y72" s="12">
        <v>0</v>
      </c>
      <c r="Z72" s="12">
        <v>11</v>
      </c>
      <c r="AA72" s="12">
        <v>1</v>
      </c>
      <c r="AB72" s="12">
        <v>11</v>
      </c>
      <c r="AC72" s="13">
        <f t="shared" si="4"/>
        <v>3803</v>
      </c>
    </row>
    <row r="73" spans="1:29" ht="24.95" hidden="1" customHeight="1" x14ac:dyDescent="0.25">
      <c r="A73" s="19" t="s">
        <v>374</v>
      </c>
      <c r="B73" s="19" t="s">
        <v>375</v>
      </c>
      <c r="C73" s="19" t="s">
        <v>376</v>
      </c>
      <c r="D73" s="21">
        <v>-3.8472559999999998</v>
      </c>
      <c r="E73" s="21">
        <v>-40.655659</v>
      </c>
      <c r="F73" s="20">
        <v>46205</v>
      </c>
      <c r="G73" s="20">
        <f t="shared" si="5"/>
        <v>46207</v>
      </c>
      <c r="H73" s="12">
        <v>287</v>
      </c>
      <c r="I73" s="12">
        <v>1557</v>
      </c>
      <c r="J73" s="12">
        <v>11</v>
      </c>
      <c r="K73" s="12">
        <v>238</v>
      </c>
      <c r="L73" s="12">
        <v>20</v>
      </c>
      <c r="M73" s="12">
        <v>2</v>
      </c>
      <c r="N73" s="12">
        <v>5</v>
      </c>
      <c r="O73" s="12">
        <v>1</v>
      </c>
      <c r="P73" s="12">
        <v>0</v>
      </c>
      <c r="Q73" s="12">
        <v>0</v>
      </c>
      <c r="R73" s="12">
        <v>1</v>
      </c>
      <c r="S73" s="12">
        <v>4</v>
      </c>
      <c r="T73" s="12">
        <v>5</v>
      </c>
      <c r="U73" s="12">
        <v>0</v>
      </c>
      <c r="V73" s="12">
        <v>0</v>
      </c>
      <c r="W73" s="12">
        <v>0</v>
      </c>
      <c r="X73" s="12">
        <v>0</v>
      </c>
      <c r="Y73" s="12">
        <v>0</v>
      </c>
      <c r="Z73" s="12">
        <v>0</v>
      </c>
      <c r="AA73" s="12">
        <v>1</v>
      </c>
      <c r="AB73" s="12">
        <v>0</v>
      </c>
      <c r="AC73" s="13">
        <f t="shared" si="4"/>
        <v>2132</v>
      </c>
    </row>
    <row r="74" spans="1:29" ht="24.95" hidden="1" customHeight="1" x14ac:dyDescent="0.25">
      <c r="A74" s="19" t="s">
        <v>380</v>
      </c>
      <c r="B74" s="19" t="s">
        <v>375</v>
      </c>
      <c r="C74" s="19" t="s">
        <v>381</v>
      </c>
      <c r="D74" s="24">
        <v>-3.9773689999999999</v>
      </c>
      <c r="E74" s="24">
        <v>-40.707929999999998</v>
      </c>
      <c r="F74" s="20">
        <v>46194</v>
      </c>
      <c r="G74" s="20">
        <f t="shared" si="5"/>
        <v>46196</v>
      </c>
      <c r="H74" s="12">
        <v>1372</v>
      </c>
      <c r="I74" s="12">
        <v>1539</v>
      </c>
      <c r="J74" s="12">
        <v>24</v>
      </c>
      <c r="K74" s="12">
        <v>75</v>
      </c>
      <c r="L74" s="12">
        <v>15</v>
      </c>
      <c r="M74" s="12">
        <v>7</v>
      </c>
      <c r="N74" s="12">
        <v>9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12">
        <v>49</v>
      </c>
      <c r="U74" s="12">
        <v>0</v>
      </c>
      <c r="V74" s="12">
        <v>0</v>
      </c>
      <c r="W74" s="12">
        <v>0</v>
      </c>
      <c r="X74" s="12">
        <v>0</v>
      </c>
      <c r="Y74" s="12">
        <v>0</v>
      </c>
      <c r="Z74" s="12">
        <v>0</v>
      </c>
      <c r="AA74" s="12">
        <v>0</v>
      </c>
      <c r="AB74" s="12">
        <v>0</v>
      </c>
      <c r="AC74" s="13">
        <f t="shared" si="4"/>
        <v>3090</v>
      </c>
    </row>
    <row r="75" spans="1:29" ht="24.95" hidden="1" customHeight="1" x14ac:dyDescent="0.25">
      <c r="A75" s="19" t="s">
        <v>383</v>
      </c>
      <c r="B75" s="19" t="s">
        <v>384</v>
      </c>
      <c r="C75" s="19" t="s">
        <v>385</v>
      </c>
      <c r="D75" s="24">
        <v>-4.1675570000000004</v>
      </c>
      <c r="E75" s="24">
        <v>-40.952404999999999</v>
      </c>
      <c r="F75" s="20">
        <v>46194</v>
      </c>
      <c r="G75" s="20">
        <f t="shared" si="5"/>
        <v>46196</v>
      </c>
      <c r="H75" s="12">
        <v>1133</v>
      </c>
      <c r="I75" s="12">
        <v>707</v>
      </c>
      <c r="J75" s="12">
        <v>6</v>
      </c>
      <c r="K75" s="12">
        <v>49</v>
      </c>
      <c r="L75" s="12">
        <v>6</v>
      </c>
      <c r="M75" s="12">
        <v>11</v>
      </c>
      <c r="N75" s="12">
        <v>5</v>
      </c>
      <c r="O75" s="12">
        <v>0</v>
      </c>
      <c r="P75" s="12">
        <v>0</v>
      </c>
      <c r="Q75" s="12">
        <v>0</v>
      </c>
      <c r="R75" s="12">
        <v>0</v>
      </c>
      <c r="S75" s="12">
        <v>0</v>
      </c>
      <c r="T75" s="12">
        <v>15</v>
      </c>
      <c r="U75" s="12">
        <v>0</v>
      </c>
      <c r="V75" s="12">
        <v>0</v>
      </c>
      <c r="W75" s="12">
        <v>0</v>
      </c>
      <c r="X75" s="12">
        <v>0</v>
      </c>
      <c r="Y75" s="12">
        <v>0</v>
      </c>
      <c r="Z75" s="12">
        <v>0</v>
      </c>
      <c r="AA75" s="12">
        <v>0</v>
      </c>
      <c r="AB75" s="12">
        <v>0</v>
      </c>
      <c r="AC75" s="13">
        <f t="shared" si="4"/>
        <v>1932</v>
      </c>
    </row>
    <row r="76" spans="1:29" ht="24.95" hidden="1" customHeight="1" x14ac:dyDescent="0.25">
      <c r="A76" s="19" t="s">
        <v>389</v>
      </c>
      <c r="B76" s="19" t="s">
        <v>390</v>
      </c>
      <c r="C76" s="19" t="s">
        <v>881</v>
      </c>
      <c r="D76" s="21">
        <v>-4.0409189999999997</v>
      </c>
      <c r="E76" s="21">
        <v>-40.474586000000002</v>
      </c>
      <c r="F76" s="20">
        <v>46205</v>
      </c>
      <c r="G76" s="20">
        <f t="shared" si="5"/>
        <v>46207</v>
      </c>
      <c r="H76" s="12">
        <v>269</v>
      </c>
      <c r="I76" s="12">
        <v>664</v>
      </c>
      <c r="J76" s="12">
        <v>6</v>
      </c>
      <c r="K76" s="12">
        <v>131</v>
      </c>
      <c r="L76" s="12">
        <v>27</v>
      </c>
      <c r="M76" s="12">
        <v>2</v>
      </c>
      <c r="N76" s="12">
        <v>4</v>
      </c>
      <c r="O76" s="12">
        <v>0</v>
      </c>
      <c r="P76" s="12">
        <v>0</v>
      </c>
      <c r="Q76" s="12">
        <v>0</v>
      </c>
      <c r="R76" s="12">
        <v>0</v>
      </c>
      <c r="S76" s="12">
        <v>1</v>
      </c>
      <c r="T76" s="12">
        <v>6</v>
      </c>
      <c r="U76" s="12">
        <v>0</v>
      </c>
      <c r="V76" s="12">
        <v>0</v>
      </c>
      <c r="W76" s="12">
        <v>1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3">
        <f t="shared" si="4"/>
        <v>1111</v>
      </c>
    </row>
    <row r="77" spans="1:29" ht="24.95" hidden="1" customHeight="1" x14ac:dyDescent="0.25">
      <c r="A77" s="19" t="s">
        <v>393</v>
      </c>
      <c r="B77" s="19" t="s">
        <v>272</v>
      </c>
      <c r="C77" s="19" t="s">
        <v>394</v>
      </c>
      <c r="D77" s="21"/>
      <c r="E77" s="21"/>
      <c r="F77" s="20"/>
      <c r="G77" s="20">
        <f t="shared" si="5"/>
        <v>2</v>
      </c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3">
        <f t="shared" si="4"/>
        <v>0</v>
      </c>
    </row>
    <row r="78" spans="1:29" ht="24.95" hidden="1" customHeight="1" x14ac:dyDescent="0.25">
      <c r="A78" s="19" t="s">
        <v>398</v>
      </c>
      <c r="B78" s="19" t="s">
        <v>399</v>
      </c>
      <c r="C78" s="19" t="s">
        <v>400</v>
      </c>
      <c r="D78" s="21"/>
      <c r="E78" s="21"/>
      <c r="F78" s="20"/>
      <c r="G78" s="20">
        <f t="shared" si="5"/>
        <v>2</v>
      </c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3">
        <f t="shared" si="4"/>
        <v>0</v>
      </c>
    </row>
    <row r="79" spans="1:29" ht="24.95" hidden="1" customHeight="1" x14ac:dyDescent="0.25">
      <c r="A79" s="19" t="s">
        <v>404</v>
      </c>
      <c r="B79" s="19" t="s">
        <v>405</v>
      </c>
      <c r="C79" s="19" t="s">
        <v>406</v>
      </c>
      <c r="D79" s="21">
        <v>-3.2705820000000001</v>
      </c>
      <c r="E79" s="21">
        <v>-39.915233000000001</v>
      </c>
      <c r="F79" s="20">
        <v>46208</v>
      </c>
      <c r="G79" s="20">
        <f t="shared" si="5"/>
        <v>46210</v>
      </c>
      <c r="H79" s="12">
        <v>426</v>
      </c>
      <c r="I79" s="12">
        <v>1106</v>
      </c>
      <c r="J79" s="12">
        <v>84</v>
      </c>
      <c r="K79" s="12">
        <v>187</v>
      </c>
      <c r="L79" s="12">
        <v>121</v>
      </c>
      <c r="M79" s="12">
        <v>29</v>
      </c>
      <c r="N79" s="12">
        <v>7</v>
      </c>
      <c r="O79" s="12">
        <v>7</v>
      </c>
      <c r="P79" s="12">
        <v>0</v>
      </c>
      <c r="Q79" s="12">
        <v>8</v>
      </c>
      <c r="R79" s="12">
        <v>9</v>
      </c>
      <c r="S79" s="12">
        <v>4</v>
      </c>
      <c r="T79" s="12">
        <v>22</v>
      </c>
      <c r="U79" s="12">
        <v>0</v>
      </c>
      <c r="V79" s="12">
        <v>1</v>
      </c>
      <c r="W79" s="12">
        <v>0</v>
      </c>
      <c r="X79" s="12">
        <v>1</v>
      </c>
      <c r="Y79" s="12">
        <v>0</v>
      </c>
      <c r="Z79" s="12">
        <v>0</v>
      </c>
      <c r="AA79" s="12">
        <v>2</v>
      </c>
      <c r="AB79" s="12">
        <v>1</v>
      </c>
      <c r="AC79" s="13">
        <f t="shared" si="4"/>
        <v>2015</v>
      </c>
    </row>
    <row r="80" spans="1:29" ht="24.95" hidden="1" customHeight="1" x14ac:dyDescent="0.25">
      <c r="A80" s="19" t="s">
        <v>410</v>
      </c>
      <c r="B80" s="19" t="s">
        <v>266</v>
      </c>
      <c r="C80" s="19" t="s">
        <v>411</v>
      </c>
      <c r="D80" s="24" t="s">
        <v>855</v>
      </c>
      <c r="E80" s="24" t="s">
        <v>856</v>
      </c>
      <c r="F80" s="20">
        <v>46153</v>
      </c>
      <c r="G80" s="20">
        <f t="shared" si="5"/>
        <v>46155</v>
      </c>
      <c r="H80" s="12">
        <v>2987</v>
      </c>
      <c r="I80" s="12">
        <v>942</v>
      </c>
      <c r="J80" s="12">
        <v>18</v>
      </c>
      <c r="K80" s="12">
        <v>128</v>
      </c>
      <c r="L80" s="12">
        <v>7</v>
      </c>
      <c r="M80" s="12">
        <v>0</v>
      </c>
      <c r="N80" s="12">
        <v>52</v>
      </c>
      <c r="O80" s="12">
        <v>0</v>
      </c>
      <c r="P80" s="12">
        <v>0</v>
      </c>
      <c r="Q80" s="12">
        <v>2</v>
      </c>
      <c r="R80" s="12">
        <v>0</v>
      </c>
      <c r="S80" s="12">
        <v>0</v>
      </c>
      <c r="T80" s="12">
        <v>108</v>
      </c>
      <c r="U80" s="12">
        <v>0</v>
      </c>
      <c r="V80" s="12">
        <v>0</v>
      </c>
      <c r="W80" s="12">
        <v>0</v>
      </c>
      <c r="X80" s="12">
        <v>1</v>
      </c>
      <c r="Y80" s="12">
        <v>1</v>
      </c>
      <c r="Z80" s="12">
        <v>0</v>
      </c>
      <c r="AA80" s="12">
        <v>0</v>
      </c>
      <c r="AB80" s="12">
        <v>1</v>
      </c>
      <c r="AC80" s="13">
        <f t="shared" si="4"/>
        <v>4247</v>
      </c>
    </row>
    <row r="81" spans="1:29" ht="24.95" hidden="1" customHeight="1" x14ac:dyDescent="0.25">
      <c r="A81" s="19" t="s">
        <v>415</v>
      </c>
      <c r="B81" s="19" t="s">
        <v>416</v>
      </c>
      <c r="C81" s="19" t="s">
        <v>417</v>
      </c>
      <c r="D81" s="24" t="s">
        <v>859</v>
      </c>
      <c r="E81" s="24" t="s">
        <v>860</v>
      </c>
      <c r="F81" s="20">
        <v>46153</v>
      </c>
      <c r="G81" s="20">
        <f t="shared" si="5"/>
        <v>46155</v>
      </c>
      <c r="H81" s="12">
        <v>769</v>
      </c>
      <c r="I81" s="12">
        <v>2867</v>
      </c>
      <c r="J81" s="12">
        <v>48</v>
      </c>
      <c r="K81" s="12">
        <v>280</v>
      </c>
      <c r="L81" s="12">
        <v>100</v>
      </c>
      <c r="M81" s="12">
        <v>22</v>
      </c>
      <c r="N81" s="12">
        <v>11</v>
      </c>
      <c r="O81" s="12">
        <v>5</v>
      </c>
      <c r="P81" s="12">
        <v>2</v>
      </c>
      <c r="Q81" s="12">
        <v>8</v>
      </c>
      <c r="R81" s="12">
        <v>13</v>
      </c>
      <c r="S81" s="12">
        <v>4</v>
      </c>
      <c r="T81" s="12">
        <v>25</v>
      </c>
      <c r="U81" s="12">
        <v>0</v>
      </c>
      <c r="V81" s="12">
        <v>1</v>
      </c>
      <c r="W81" s="12">
        <v>1</v>
      </c>
      <c r="X81" s="12">
        <v>0</v>
      </c>
      <c r="Y81" s="12">
        <v>0</v>
      </c>
      <c r="Z81" s="12">
        <v>3</v>
      </c>
      <c r="AA81" s="12">
        <v>1</v>
      </c>
      <c r="AB81" s="12">
        <v>1</v>
      </c>
      <c r="AC81" s="13">
        <f t="shared" si="4"/>
        <v>4161</v>
      </c>
    </row>
    <row r="82" spans="1:29" ht="24.95" customHeight="1" x14ac:dyDescent="0.25">
      <c r="A82" s="19" t="s">
        <v>421</v>
      </c>
      <c r="B82" s="19" t="s">
        <v>405</v>
      </c>
      <c r="C82" s="19" t="s">
        <v>422</v>
      </c>
      <c r="D82" s="24">
        <v>-4.290178</v>
      </c>
      <c r="E82" s="24">
        <v>-38.624884999999999</v>
      </c>
      <c r="F82" s="20">
        <v>46212</v>
      </c>
      <c r="G82" s="20">
        <f t="shared" si="5"/>
        <v>46214</v>
      </c>
      <c r="H82" s="12">
        <v>1480</v>
      </c>
      <c r="I82" s="12">
        <v>1727</v>
      </c>
      <c r="J82" s="12">
        <v>46</v>
      </c>
      <c r="K82" s="12">
        <v>191</v>
      </c>
      <c r="L82" s="12">
        <v>75</v>
      </c>
      <c r="M82" s="12">
        <v>12</v>
      </c>
      <c r="N82" s="12">
        <v>15</v>
      </c>
      <c r="O82" s="12">
        <v>0</v>
      </c>
      <c r="P82" s="12">
        <v>0</v>
      </c>
      <c r="Q82" s="12">
        <v>4</v>
      </c>
      <c r="R82" s="12">
        <v>2</v>
      </c>
      <c r="S82" s="12">
        <v>0</v>
      </c>
      <c r="T82" s="12">
        <v>27</v>
      </c>
      <c r="U82" s="12">
        <v>1</v>
      </c>
      <c r="V82" s="12">
        <v>0</v>
      </c>
      <c r="W82" s="12">
        <v>0</v>
      </c>
      <c r="X82" s="12">
        <v>0</v>
      </c>
      <c r="Y82" s="12">
        <v>0</v>
      </c>
      <c r="Z82" s="12">
        <v>2</v>
      </c>
      <c r="AA82" s="12">
        <v>1</v>
      </c>
      <c r="AB82" s="12">
        <v>0</v>
      </c>
      <c r="AC82" s="13">
        <f t="shared" si="4"/>
        <v>3583</v>
      </c>
    </row>
    <row r="83" spans="1:29" ht="24.95" hidden="1" customHeight="1" x14ac:dyDescent="0.25">
      <c r="A83" s="19" t="s">
        <v>426</v>
      </c>
      <c r="B83" s="19" t="s">
        <v>229</v>
      </c>
      <c r="C83" s="19" t="s">
        <v>427</v>
      </c>
      <c r="D83" s="21">
        <v>-4.3755519999999999</v>
      </c>
      <c r="E83" s="21">
        <v>-38.834249999999997</v>
      </c>
      <c r="F83" s="20">
        <v>46107</v>
      </c>
      <c r="G83" s="20">
        <f t="shared" si="5"/>
        <v>46109</v>
      </c>
      <c r="H83" s="12">
        <v>1013</v>
      </c>
      <c r="I83" s="12">
        <v>4214</v>
      </c>
      <c r="J83" s="12">
        <v>120</v>
      </c>
      <c r="K83" s="12">
        <v>455</v>
      </c>
      <c r="L83" s="12">
        <v>53</v>
      </c>
      <c r="M83" s="12">
        <v>12</v>
      </c>
      <c r="N83" s="12">
        <v>72</v>
      </c>
      <c r="O83" s="12">
        <v>1</v>
      </c>
      <c r="P83" s="12">
        <v>0</v>
      </c>
      <c r="Q83" s="12">
        <v>2</v>
      </c>
      <c r="R83" s="12">
        <v>1</v>
      </c>
      <c r="S83" s="12">
        <v>5</v>
      </c>
      <c r="T83" s="12">
        <v>80</v>
      </c>
      <c r="U83" s="12">
        <v>0</v>
      </c>
      <c r="V83" s="12">
        <v>2</v>
      </c>
      <c r="W83" s="12">
        <v>1</v>
      </c>
      <c r="X83" s="12">
        <v>0</v>
      </c>
      <c r="Y83" s="12">
        <v>0</v>
      </c>
      <c r="Z83" s="12">
        <v>0</v>
      </c>
      <c r="AA83" s="12">
        <v>0</v>
      </c>
      <c r="AB83" s="12">
        <v>0</v>
      </c>
      <c r="AC83" s="13">
        <f t="shared" si="4"/>
        <v>6031</v>
      </c>
    </row>
    <row r="84" spans="1:29" ht="24.95" hidden="1" customHeight="1" x14ac:dyDescent="0.25">
      <c r="A84" s="19" t="s">
        <v>430</v>
      </c>
      <c r="B84" s="19" t="s">
        <v>229</v>
      </c>
      <c r="C84" s="19" t="s">
        <v>431</v>
      </c>
      <c r="D84" s="24">
        <v>-5.041658</v>
      </c>
      <c r="E84" s="24">
        <v>-37.779488000000001</v>
      </c>
      <c r="F84" s="20">
        <v>46170</v>
      </c>
      <c r="G84" s="20">
        <f t="shared" si="5"/>
        <v>46172</v>
      </c>
      <c r="H84" s="12">
        <v>201</v>
      </c>
      <c r="I84" s="12">
        <v>1313</v>
      </c>
      <c r="J84" s="12">
        <v>39</v>
      </c>
      <c r="K84" s="12">
        <v>292</v>
      </c>
      <c r="L84" s="12">
        <v>225</v>
      </c>
      <c r="M84" s="12">
        <v>7</v>
      </c>
      <c r="N84" s="12">
        <v>70</v>
      </c>
      <c r="O84" s="12">
        <v>12</v>
      </c>
      <c r="P84" s="12">
        <v>6</v>
      </c>
      <c r="Q84" s="12">
        <v>44</v>
      </c>
      <c r="R84" s="12">
        <v>74</v>
      </c>
      <c r="S84" s="12">
        <v>7</v>
      </c>
      <c r="T84" s="12">
        <v>29</v>
      </c>
      <c r="U84" s="12">
        <v>3</v>
      </c>
      <c r="V84" s="12">
        <v>3</v>
      </c>
      <c r="W84" s="12">
        <v>26</v>
      </c>
      <c r="X84" s="12">
        <v>3</v>
      </c>
      <c r="Y84" s="12">
        <v>4</v>
      </c>
      <c r="Z84" s="12">
        <v>44</v>
      </c>
      <c r="AA84" s="12">
        <v>55</v>
      </c>
      <c r="AB84" s="12">
        <v>89</v>
      </c>
      <c r="AC84" s="13">
        <f t="shared" si="4"/>
        <v>2546</v>
      </c>
    </row>
    <row r="85" spans="1:29" ht="24.95" hidden="1" customHeight="1" x14ac:dyDescent="0.25">
      <c r="A85" s="19" t="s">
        <v>435</v>
      </c>
      <c r="B85" s="19" t="s">
        <v>436</v>
      </c>
      <c r="C85" s="19" t="s">
        <v>437</v>
      </c>
      <c r="D85" s="24">
        <v>-5.2738310000000004</v>
      </c>
      <c r="E85" s="24">
        <v>-38.108522000000001</v>
      </c>
      <c r="F85" s="20">
        <v>46167</v>
      </c>
      <c r="G85" s="20">
        <f t="shared" si="5"/>
        <v>46169</v>
      </c>
      <c r="H85" s="12">
        <v>1830</v>
      </c>
      <c r="I85" s="12">
        <v>839</v>
      </c>
      <c r="J85" s="12">
        <v>24</v>
      </c>
      <c r="K85" s="12">
        <v>111</v>
      </c>
      <c r="L85" s="12">
        <v>43</v>
      </c>
      <c r="M85" s="12">
        <v>13</v>
      </c>
      <c r="N85" s="12">
        <v>4</v>
      </c>
      <c r="O85" s="12">
        <v>1</v>
      </c>
      <c r="P85" s="12">
        <v>0</v>
      </c>
      <c r="Q85" s="12">
        <v>1</v>
      </c>
      <c r="R85" s="12">
        <v>0</v>
      </c>
      <c r="S85" s="12">
        <v>1</v>
      </c>
      <c r="T85" s="12">
        <v>31</v>
      </c>
      <c r="U85" s="12">
        <v>0</v>
      </c>
      <c r="V85" s="12">
        <v>0</v>
      </c>
      <c r="W85" s="12">
        <v>0</v>
      </c>
      <c r="X85" s="12">
        <v>0</v>
      </c>
      <c r="Y85" s="12">
        <v>0</v>
      </c>
      <c r="Z85" s="12">
        <v>0</v>
      </c>
      <c r="AA85" s="12">
        <v>0</v>
      </c>
      <c r="AB85" s="12">
        <v>0</v>
      </c>
      <c r="AC85" s="13">
        <f t="shared" si="4"/>
        <v>2898</v>
      </c>
    </row>
    <row r="86" spans="1:29" ht="24.95" hidden="1" customHeight="1" x14ac:dyDescent="0.25">
      <c r="A86" s="19" t="s">
        <v>441</v>
      </c>
      <c r="B86" s="19" t="s">
        <v>97</v>
      </c>
      <c r="C86" s="19" t="s">
        <v>442</v>
      </c>
      <c r="D86" s="21">
        <v>-3.7851759999999999</v>
      </c>
      <c r="E86" s="21">
        <v>-38.696210999999998</v>
      </c>
      <c r="F86" s="20">
        <v>46197</v>
      </c>
      <c r="G86" s="20">
        <f t="shared" si="5"/>
        <v>46199</v>
      </c>
      <c r="H86" s="12">
        <v>1555</v>
      </c>
      <c r="I86" s="12">
        <v>6255</v>
      </c>
      <c r="J86" s="12">
        <v>283</v>
      </c>
      <c r="K86" s="12">
        <v>886</v>
      </c>
      <c r="L86" s="12">
        <v>368</v>
      </c>
      <c r="M86" s="12">
        <v>28</v>
      </c>
      <c r="N86" s="12">
        <v>101</v>
      </c>
      <c r="O86" s="12">
        <v>10</v>
      </c>
      <c r="P86" s="12">
        <v>1</v>
      </c>
      <c r="Q86" s="12">
        <v>20</v>
      </c>
      <c r="R86" s="12">
        <v>56</v>
      </c>
      <c r="S86" s="12">
        <v>6</v>
      </c>
      <c r="T86" s="12">
        <v>81</v>
      </c>
      <c r="U86" s="12">
        <v>1</v>
      </c>
      <c r="V86" s="12">
        <v>0</v>
      </c>
      <c r="W86" s="12">
        <v>8</v>
      </c>
      <c r="X86" s="12">
        <v>2</v>
      </c>
      <c r="Y86" s="12">
        <v>0</v>
      </c>
      <c r="Z86" s="12">
        <v>9</v>
      </c>
      <c r="AA86" s="12">
        <v>21</v>
      </c>
      <c r="AB86" s="12">
        <v>15</v>
      </c>
      <c r="AC86" s="13">
        <f t="shared" si="4"/>
        <v>9706</v>
      </c>
    </row>
    <row r="87" spans="1:29" ht="24.95" hidden="1" customHeight="1" x14ac:dyDescent="0.25">
      <c r="A87" s="19" t="s">
        <v>446</v>
      </c>
      <c r="B87" s="19" t="s">
        <v>235</v>
      </c>
      <c r="C87" s="19" t="s">
        <v>447</v>
      </c>
      <c r="D87" s="21">
        <v>-3.133448</v>
      </c>
      <c r="E87" s="21">
        <v>-40.815766000000004</v>
      </c>
      <c r="F87" s="20">
        <v>46188</v>
      </c>
      <c r="G87" s="20">
        <f t="shared" si="5"/>
        <v>46190</v>
      </c>
      <c r="H87" s="12">
        <v>363</v>
      </c>
      <c r="I87" s="12">
        <v>1052</v>
      </c>
      <c r="J87" s="12">
        <v>50</v>
      </c>
      <c r="K87" s="12">
        <v>219</v>
      </c>
      <c r="L87" s="12">
        <v>74</v>
      </c>
      <c r="M87" s="12">
        <v>14</v>
      </c>
      <c r="N87" s="12">
        <v>12</v>
      </c>
      <c r="O87" s="12">
        <v>1</v>
      </c>
      <c r="P87" s="12">
        <v>1</v>
      </c>
      <c r="Q87" s="12">
        <v>1</v>
      </c>
      <c r="R87" s="12">
        <v>3</v>
      </c>
      <c r="S87" s="12">
        <v>0</v>
      </c>
      <c r="T87" s="12">
        <v>11</v>
      </c>
      <c r="U87" s="12">
        <v>0</v>
      </c>
      <c r="V87" s="12">
        <v>0</v>
      </c>
      <c r="W87" s="12">
        <v>1</v>
      </c>
      <c r="X87" s="12">
        <v>0</v>
      </c>
      <c r="Y87" s="12">
        <v>0</v>
      </c>
      <c r="Z87" s="12">
        <v>0</v>
      </c>
      <c r="AA87" s="12">
        <v>1</v>
      </c>
      <c r="AB87" s="12">
        <v>0</v>
      </c>
      <c r="AC87" s="13">
        <f t="shared" si="4"/>
        <v>1803</v>
      </c>
    </row>
    <row r="88" spans="1:29" ht="24.95" hidden="1" customHeight="1" x14ac:dyDescent="0.25">
      <c r="A88" s="19" t="s">
        <v>451</v>
      </c>
      <c r="B88" s="19" t="s">
        <v>235</v>
      </c>
      <c r="C88" s="19" t="s">
        <v>452</v>
      </c>
      <c r="D88" s="21">
        <v>-3.6184599999999998</v>
      </c>
      <c r="E88" s="21">
        <v>-40.352547000000001</v>
      </c>
      <c r="F88" s="20">
        <v>46119</v>
      </c>
      <c r="G88" s="20">
        <f t="shared" si="5"/>
        <v>46121</v>
      </c>
      <c r="H88" s="12">
        <v>2391</v>
      </c>
      <c r="I88" s="12">
        <v>3304</v>
      </c>
      <c r="J88" s="12">
        <v>73</v>
      </c>
      <c r="K88" s="12">
        <v>546</v>
      </c>
      <c r="L88" s="12">
        <v>105</v>
      </c>
      <c r="M88" s="12">
        <v>21</v>
      </c>
      <c r="N88" s="12">
        <v>79</v>
      </c>
      <c r="O88" s="12">
        <v>8</v>
      </c>
      <c r="P88" s="12">
        <v>8</v>
      </c>
      <c r="Q88" s="12">
        <v>18</v>
      </c>
      <c r="R88" s="12">
        <v>16</v>
      </c>
      <c r="S88" s="12">
        <v>4</v>
      </c>
      <c r="T88" s="12">
        <v>99</v>
      </c>
      <c r="U88" s="12">
        <v>4</v>
      </c>
      <c r="V88" s="12">
        <v>1</v>
      </c>
      <c r="W88" s="12">
        <v>5</v>
      </c>
      <c r="X88" s="12">
        <v>2</v>
      </c>
      <c r="Y88" s="12">
        <v>0</v>
      </c>
      <c r="Z88" s="12">
        <v>7</v>
      </c>
      <c r="AA88" s="12">
        <v>5</v>
      </c>
      <c r="AB88" s="12">
        <v>1</v>
      </c>
      <c r="AC88" s="13">
        <f t="shared" si="4"/>
        <v>6697</v>
      </c>
    </row>
    <row r="89" spans="1:29" ht="24.95" hidden="1" customHeight="1" x14ac:dyDescent="0.25">
      <c r="A89" s="19" t="s">
        <v>456</v>
      </c>
      <c r="B89" s="19" t="s">
        <v>235</v>
      </c>
      <c r="C89" s="19" t="s">
        <v>877</v>
      </c>
      <c r="D89" s="21">
        <v>-3.9919730000000002</v>
      </c>
      <c r="E89" s="21">
        <v>-40.083334000000001</v>
      </c>
      <c r="F89" s="20">
        <v>46202</v>
      </c>
      <c r="G89" s="20">
        <v>46204</v>
      </c>
      <c r="H89" s="12">
        <v>197</v>
      </c>
      <c r="I89" s="12">
        <v>1110</v>
      </c>
      <c r="J89" s="12">
        <v>29</v>
      </c>
      <c r="K89" s="12">
        <v>242</v>
      </c>
      <c r="L89" s="12">
        <v>74</v>
      </c>
      <c r="M89" s="12">
        <v>7</v>
      </c>
      <c r="N89" s="12">
        <v>22</v>
      </c>
      <c r="O89" s="12">
        <v>6</v>
      </c>
      <c r="P89" s="12">
        <v>1</v>
      </c>
      <c r="Q89" s="12">
        <v>9</v>
      </c>
      <c r="R89" s="12">
        <v>17</v>
      </c>
      <c r="S89" s="12">
        <v>4</v>
      </c>
      <c r="T89" s="12">
        <v>18</v>
      </c>
      <c r="U89" s="12">
        <v>0</v>
      </c>
      <c r="V89" s="12">
        <v>0</v>
      </c>
      <c r="W89" s="12">
        <v>3</v>
      </c>
      <c r="X89" s="12">
        <v>1</v>
      </c>
      <c r="Y89" s="12">
        <v>0</v>
      </c>
      <c r="Z89" s="12">
        <v>6</v>
      </c>
      <c r="AA89" s="12">
        <v>5</v>
      </c>
      <c r="AB89" s="12">
        <v>2</v>
      </c>
      <c r="AC89" s="13">
        <f t="shared" si="4"/>
        <v>1753</v>
      </c>
    </row>
    <row r="90" spans="1:29" ht="24.95" hidden="1" customHeight="1" x14ac:dyDescent="0.25">
      <c r="A90" s="19" t="s">
        <v>458</v>
      </c>
      <c r="B90" s="19" t="s">
        <v>459</v>
      </c>
      <c r="C90" s="19" t="s">
        <v>460</v>
      </c>
      <c r="D90" s="24" t="s">
        <v>831</v>
      </c>
      <c r="E90" s="24" t="s">
        <v>832</v>
      </c>
      <c r="F90" s="20">
        <v>46139</v>
      </c>
      <c r="G90" s="20">
        <f t="shared" si="5"/>
        <v>46141</v>
      </c>
      <c r="H90" s="12">
        <v>504</v>
      </c>
      <c r="I90" s="12">
        <v>503</v>
      </c>
      <c r="J90" s="12">
        <v>9</v>
      </c>
      <c r="K90" s="12">
        <v>104</v>
      </c>
      <c r="L90" s="12">
        <v>99</v>
      </c>
      <c r="M90" s="12">
        <v>1</v>
      </c>
      <c r="N90" s="12">
        <v>1</v>
      </c>
      <c r="O90" s="12">
        <v>0</v>
      </c>
      <c r="P90" s="12">
        <v>0</v>
      </c>
      <c r="Q90" s="12">
        <v>2</v>
      </c>
      <c r="R90" s="12">
        <v>0</v>
      </c>
      <c r="S90" s="12">
        <v>2</v>
      </c>
      <c r="T90" s="12">
        <v>8</v>
      </c>
      <c r="U90" s="12">
        <v>0</v>
      </c>
      <c r="V90" s="12">
        <v>0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3">
        <f t="shared" si="4"/>
        <v>1233</v>
      </c>
    </row>
    <row r="91" spans="1:29" ht="24.95" hidden="1" customHeight="1" x14ac:dyDescent="0.25">
      <c r="A91" s="19" t="s">
        <v>462</v>
      </c>
      <c r="B91" s="19" t="s">
        <v>463</v>
      </c>
      <c r="C91" s="19" t="s">
        <v>464</v>
      </c>
      <c r="D91" s="21">
        <v>-3.3702869999999998</v>
      </c>
      <c r="E91" s="21">
        <v>-40.723520000000001</v>
      </c>
      <c r="F91" s="20">
        <v>46188</v>
      </c>
      <c r="G91" s="20">
        <f t="shared" si="5"/>
        <v>46190</v>
      </c>
      <c r="H91" s="12">
        <v>717</v>
      </c>
      <c r="I91" s="12">
        <v>684</v>
      </c>
      <c r="J91" s="12">
        <v>16</v>
      </c>
      <c r="K91" s="12">
        <v>149</v>
      </c>
      <c r="L91" s="12">
        <v>80</v>
      </c>
      <c r="M91" s="12">
        <v>9</v>
      </c>
      <c r="N91" s="12">
        <v>14</v>
      </c>
      <c r="O91" s="12">
        <v>4</v>
      </c>
      <c r="P91" s="12">
        <v>1</v>
      </c>
      <c r="Q91" s="12">
        <v>10</v>
      </c>
      <c r="R91" s="12">
        <v>10</v>
      </c>
      <c r="S91" s="12">
        <v>2</v>
      </c>
      <c r="T91" s="12">
        <v>25</v>
      </c>
      <c r="U91" s="12">
        <v>0</v>
      </c>
      <c r="V91" s="12">
        <v>0</v>
      </c>
      <c r="W91" s="12">
        <v>4</v>
      </c>
      <c r="X91" s="12">
        <v>0</v>
      </c>
      <c r="Y91" s="12">
        <v>0</v>
      </c>
      <c r="Z91" s="12">
        <v>6</v>
      </c>
      <c r="AA91" s="12">
        <v>1</v>
      </c>
      <c r="AB91" s="12">
        <v>1</v>
      </c>
      <c r="AC91" s="13">
        <f t="shared" si="4"/>
        <v>1733</v>
      </c>
    </row>
    <row r="92" spans="1:29" ht="24.95" hidden="1" customHeight="1" x14ac:dyDescent="0.25">
      <c r="A92" s="19" t="s">
        <v>468</v>
      </c>
      <c r="B92" s="19" t="s">
        <v>463</v>
      </c>
      <c r="C92" s="19" t="s">
        <v>469</v>
      </c>
      <c r="D92" s="24" t="s">
        <v>869</v>
      </c>
      <c r="E92" s="24" t="s">
        <v>870</v>
      </c>
      <c r="F92" s="20">
        <v>46159</v>
      </c>
      <c r="G92" s="20">
        <f t="shared" si="5"/>
        <v>46161</v>
      </c>
      <c r="H92" s="12">
        <v>889</v>
      </c>
      <c r="I92" s="12">
        <v>1762</v>
      </c>
      <c r="J92" s="12">
        <v>26</v>
      </c>
      <c r="K92" s="12">
        <v>116</v>
      </c>
      <c r="L92" s="12">
        <v>15</v>
      </c>
      <c r="M92" s="12">
        <v>1</v>
      </c>
      <c r="N92" s="12">
        <v>3</v>
      </c>
      <c r="O92" s="12">
        <v>1</v>
      </c>
      <c r="P92" s="12">
        <v>0</v>
      </c>
      <c r="Q92" s="12">
        <v>0</v>
      </c>
      <c r="R92" s="12">
        <v>2</v>
      </c>
      <c r="S92" s="12">
        <v>0</v>
      </c>
      <c r="T92" s="12">
        <v>21</v>
      </c>
      <c r="U92" s="12">
        <v>3</v>
      </c>
      <c r="V92" s="12">
        <v>0</v>
      </c>
      <c r="W92" s="12">
        <v>0</v>
      </c>
      <c r="X92" s="12">
        <v>0</v>
      </c>
      <c r="Y92" s="12">
        <v>0</v>
      </c>
      <c r="Z92" s="12">
        <v>1</v>
      </c>
      <c r="AA92" s="12">
        <v>2</v>
      </c>
      <c r="AB92" s="12">
        <v>0</v>
      </c>
      <c r="AC92" s="13">
        <f t="shared" si="4"/>
        <v>2842</v>
      </c>
    </row>
    <row r="93" spans="1:29" ht="24.95" hidden="1" customHeight="1" x14ac:dyDescent="0.25">
      <c r="A93" s="19" t="s">
        <v>472</v>
      </c>
      <c r="B93" s="19" t="s">
        <v>473</v>
      </c>
      <c r="C93" s="19" t="s">
        <v>474</v>
      </c>
      <c r="D93" s="24" t="s">
        <v>847</v>
      </c>
      <c r="E93" s="24" t="s">
        <v>848</v>
      </c>
      <c r="F93" s="20">
        <v>46142</v>
      </c>
      <c r="G93" s="20">
        <f t="shared" si="5"/>
        <v>46144</v>
      </c>
      <c r="H93" s="12">
        <v>279</v>
      </c>
      <c r="I93" s="12">
        <v>558</v>
      </c>
      <c r="J93" s="12">
        <v>48</v>
      </c>
      <c r="K93" s="12">
        <v>68</v>
      </c>
      <c r="L93" s="12">
        <v>25</v>
      </c>
      <c r="M93" s="12">
        <v>4</v>
      </c>
      <c r="N93" s="12">
        <v>2</v>
      </c>
      <c r="O93" s="12">
        <v>0</v>
      </c>
      <c r="P93" s="12">
        <v>0</v>
      </c>
      <c r="Q93" s="12">
        <v>0</v>
      </c>
      <c r="R93" s="12">
        <v>1</v>
      </c>
      <c r="S93" s="12">
        <v>1</v>
      </c>
      <c r="T93" s="12">
        <v>2</v>
      </c>
      <c r="U93" s="12">
        <v>0</v>
      </c>
      <c r="V93" s="12">
        <v>0</v>
      </c>
      <c r="W93" s="12">
        <v>0</v>
      </c>
      <c r="X93" s="12">
        <v>0</v>
      </c>
      <c r="Y93" s="12">
        <v>0</v>
      </c>
      <c r="Z93" s="12">
        <v>0</v>
      </c>
      <c r="AA93" s="12">
        <v>0</v>
      </c>
      <c r="AB93" s="12">
        <v>0</v>
      </c>
      <c r="AC93" s="13">
        <f t="shared" si="4"/>
        <v>988</v>
      </c>
    </row>
    <row r="94" spans="1:29" ht="24.95" hidden="1" customHeight="1" x14ac:dyDescent="0.25">
      <c r="A94" s="19" t="s">
        <v>153</v>
      </c>
      <c r="B94" s="19" t="s">
        <v>821</v>
      </c>
      <c r="C94" s="19" t="s">
        <v>822</v>
      </c>
      <c r="D94" s="21">
        <v>-5.0822029999999998</v>
      </c>
      <c r="E94" s="21">
        <v>-39.054245999999999</v>
      </c>
      <c r="F94" s="20">
        <v>46111</v>
      </c>
      <c r="G94" s="20">
        <f t="shared" si="5"/>
        <v>46113</v>
      </c>
      <c r="H94" s="12">
        <v>597</v>
      </c>
      <c r="I94" s="12">
        <v>1691</v>
      </c>
      <c r="J94" s="12">
        <v>51</v>
      </c>
      <c r="K94" s="12">
        <v>365</v>
      </c>
      <c r="L94" s="12">
        <v>109</v>
      </c>
      <c r="M94" s="12">
        <v>5</v>
      </c>
      <c r="N94" s="12">
        <v>13</v>
      </c>
      <c r="O94" s="12">
        <v>3</v>
      </c>
      <c r="P94" s="12">
        <v>0</v>
      </c>
      <c r="Q94" s="12">
        <v>4</v>
      </c>
      <c r="R94" s="12">
        <v>8</v>
      </c>
      <c r="S94" s="12">
        <v>0</v>
      </c>
      <c r="T94" s="12">
        <v>30</v>
      </c>
      <c r="U94" s="12">
        <v>2</v>
      </c>
      <c r="V94" s="12">
        <v>0</v>
      </c>
      <c r="W94" s="12">
        <v>0</v>
      </c>
      <c r="X94" s="12">
        <v>0</v>
      </c>
      <c r="Y94" s="12">
        <v>0</v>
      </c>
      <c r="Z94" s="12">
        <v>2</v>
      </c>
      <c r="AA94" s="12">
        <v>1</v>
      </c>
      <c r="AB94" s="12">
        <v>2</v>
      </c>
      <c r="AC94" s="13">
        <f t="shared" si="4"/>
        <v>2883</v>
      </c>
    </row>
    <row r="95" spans="1:29" ht="24.95" hidden="1" customHeight="1" x14ac:dyDescent="0.25">
      <c r="A95" s="19" t="s">
        <v>478</v>
      </c>
      <c r="B95" s="19" t="s">
        <v>479</v>
      </c>
      <c r="C95" s="19" t="s">
        <v>480</v>
      </c>
      <c r="D95" s="24">
        <v>-5.4022300000000003</v>
      </c>
      <c r="E95" s="24">
        <v>-38.571371999999997</v>
      </c>
      <c r="F95" s="20">
        <v>46145</v>
      </c>
      <c r="G95" s="20">
        <f t="shared" si="5"/>
        <v>46147</v>
      </c>
      <c r="H95" s="12">
        <v>318</v>
      </c>
      <c r="I95" s="12">
        <v>940</v>
      </c>
      <c r="J95" s="12">
        <v>83</v>
      </c>
      <c r="K95" s="12">
        <v>141</v>
      </c>
      <c r="L95" s="12">
        <v>67</v>
      </c>
      <c r="M95" s="12">
        <v>10</v>
      </c>
      <c r="N95" s="12">
        <v>8</v>
      </c>
      <c r="O95" s="12">
        <v>0</v>
      </c>
      <c r="P95" s="12">
        <v>2</v>
      </c>
      <c r="Q95" s="12">
        <v>4</v>
      </c>
      <c r="R95" s="12">
        <v>6</v>
      </c>
      <c r="S95" s="12">
        <v>1</v>
      </c>
      <c r="T95" s="12">
        <v>33</v>
      </c>
      <c r="U95" s="12">
        <v>0</v>
      </c>
      <c r="V95" s="12">
        <v>0</v>
      </c>
      <c r="W95" s="12">
        <v>0</v>
      </c>
      <c r="X95" s="12">
        <v>0</v>
      </c>
      <c r="Y95" s="12">
        <v>0</v>
      </c>
      <c r="Z95" s="12">
        <v>1</v>
      </c>
      <c r="AA95" s="12">
        <v>3</v>
      </c>
      <c r="AB95" s="12">
        <v>1</v>
      </c>
      <c r="AC95" s="13">
        <f t="shared" si="4"/>
        <v>1618</v>
      </c>
    </row>
    <row r="96" spans="1:29" ht="24.95" hidden="1" customHeight="1" x14ac:dyDescent="0.25">
      <c r="A96" s="19" t="s">
        <v>484</v>
      </c>
      <c r="B96" s="19" t="s">
        <v>479</v>
      </c>
      <c r="C96" s="19" t="s">
        <v>485</v>
      </c>
      <c r="D96" s="24" t="s">
        <v>833</v>
      </c>
      <c r="E96" s="24" t="s">
        <v>834</v>
      </c>
      <c r="F96" s="20">
        <v>46139</v>
      </c>
      <c r="G96" s="20">
        <f t="shared" si="5"/>
        <v>46141</v>
      </c>
      <c r="H96" s="12">
        <v>1483</v>
      </c>
      <c r="I96" s="12">
        <v>1233</v>
      </c>
      <c r="J96" s="12">
        <v>25</v>
      </c>
      <c r="K96" s="12">
        <v>312</v>
      </c>
      <c r="L96" s="12">
        <v>119</v>
      </c>
      <c r="M96" s="12">
        <v>16</v>
      </c>
      <c r="N96" s="12">
        <v>21</v>
      </c>
      <c r="O96" s="12">
        <v>5</v>
      </c>
      <c r="P96" s="12">
        <v>0</v>
      </c>
      <c r="Q96" s="12">
        <v>8</v>
      </c>
      <c r="R96" s="12">
        <v>10</v>
      </c>
      <c r="S96" s="12">
        <v>2</v>
      </c>
      <c r="T96" s="12">
        <v>53</v>
      </c>
      <c r="U96" s="12">
        <v>2</v>
      </c>
      <c r="V96" s="12">
        <v>0</v>
      </c>
      <c r="W96" s="12">
        <v>2</v>
      </c>
      <c r="X96" s="12">
        <v>0</v>
      </c>
      <c r="Y96" s="12">
        <v>0</v>
      </c>
      <c r="Z96" s="12">
        <v>7</v>
      </c>
      <c r="AA96" s="12">
        <v>4</v>
      </c>
      <c r="AB96" s="12">
        <v>5</v>
      </c>
      <c r="AC96" s="13">
        <f t="shared" si="4"/>
        <v>3307</v>
      </c>
    </row>
    <row r="97" spans="1:29" ht="24.95" hidden="1" customHeight="1" x14ac:dyDescent="0.25">
      <c r="A97" s="19" t="s">
        <v>489</v>
      </c>
      <c r="B97" s="19" t="s">
        <v>136</v>
      </c>
      <c r="C97" s="19" t="s">
        <v>490</v>
      </c>
      <c r="D97" s="24" t="s">
        <v>835</v>
      </c>
      <c r="E97" s="24" t="s">
        <v>836</v>
      </c>
      <c r="F97" s="20">
        <v>46139</v>
      </c>
      <c r="G97" s="20">
        <f t="shared" si="5"/>
        <v>46141</v>
      </c>
      <c r="H97" s="12">
        <v>4013</v>
      </c>
      <c r="I97" s="12">
        <v>2481</v>
      </c>
      <c r="J97" s="12">
        <v>36</v>
      </c>
      <c r="K97" s="12">
        <v>287</v>
      </c>
      <c r="L97" s="12">
        <v>93</v>
      </c>
      <c r="M97" s="12">
        <v>11</v>
      </c>
      <c r="N97" s="12">
        <v>34</v>
      </c>
      <c r="O97" s="12">
        <v>1</v>
      </c>
      <c r="P97" s="12">
        <v>0</v>
      </c>
      <c r="Q97" s="12">
        <v>7</v>
      </c>
      <c r="R97" s="12">
        <v>4</v>
      </c>
      <c r="S97" s="12">
        <v>2</v>
      </c>
      <c r="T97" s="12">
        <v>85</v>
      </c>
      <c r="U97" s="12">
        <v>0</v>
      </c>
      <c r="V97" s="12">
        <v>0</v>
      </c>
      <c r="W97" s="12">
        <v>1</v>
      </c>
      <c r="X97" s="12">
        <v>0</v>
      </c>
      <c r="Y97" s="12">
        <v>0</v>
      </c>
      <c r="Z97" s="12">
        <v>4</v>
      </c>
      <c r="AA97" s="12">
        <v>2</v>
      </c>
      <c r="AB97" s="12">
        <v>2</v>
      </c>
      <c r="AC97" s="13">
        <f t="shared" si="4"/>
        <v>7063</v>
      </c>
    </row>
    <row r="98" spans="1:29" ht="24.95" hidden="1" customHeight="1" x14ac:dyDescent="0.25">
      <c r="A98" s="19" t="s">
        <v>492</v>
      </c>
      <c r="B98" s="19" t="s">
        <v>493</v>
      </c>
      <c r="C98" s="19" t="s">
        <v>494</v>
      </c>
      <c r="D98" s="24">
        <v>-5.0848469999999999</v>
      </c>
      <c r="E98" s="24">
        <v>-38.009757</v>
      </c>
      <c r="F98" s="20">
        <v>46167</v>
      </c>
      <c r="G98" s="20">
        <f t="shared" si="5"/>
        <v>46169</v>
      </c>
      <c r="H98" s="12">
        <v>1367</v>
      </c>
      <c r="I98" s="12">
        <v>1757</v>
      </c>
      <c r="J98" s="12">
        <v>69</v>
      </c>
      <c r="K98" s="12">
        <v>232</v>
      </c>
      <c r="L98" s="12">
        <v>50</v>
      </c>
      <c r="M98" s="12">
        <v>15</v>
      </c>
      <c r="N98" s="12">
        <v>23</v>
      </c>
      <c r="O98" s="12">
        <v>5</v>
      </c>
      <c r="P98" s="12">
        <v>2</v>
      </c>
      <c r="Q98" s="12">
        <v>8</v>
      </c>
      <c r="R98" s="12">
        <v>5</v>
      </c>
      <c r="S98" s="12">
        <v>2</v>
      </c>
      <c r="T98" s="12">
        <v>39</v>
      </c>
      <c r="U98" s="12">
        <v>0</v>
      </c>
      <c r="V98" s="12">
        <v>1</v>
      </c>
      <c r="W98" s="12">
        <v>6</v>
      </c>
      <c r="X98" s="12">
        <v>1</v>
      </c>
      <c r="Y98" s="12">
        <v>0</v>
      </c>
      <c r="Z98" s="12">
        <v>3</v>
      </c>
      <c r="AA98" s="12">
        <v>5</v>
      </c>
      <c r="AB98" s="12">
        <v>0</v>
      </c>
      <c r="AC98" s="13">
        <f t="shared" si="4"/>
        <v>3590</v>
      </c>
    </row>
    <row r="99" spans="1:29" ht="24.95" hidden="1" customHeight="1" x14ac:dyDescent="0.25">
      <c r="A99" s="19" t="s">
        <v>498</v>
      </c>
      <c r="B99" s="19" t="s">
        <v>493</v>
      </c>
      <c r="C99" s="19" t="s">
        <v>499</v>
      </c>
      <c r="D99" s="24">
        <v>-5.2461500000000001</v>
      </c>
      <c r="E99" s="24">
        <v>-38.214409000000003</v>
      </c>
      <c r="F99" s="20">
        <v>46167</v>
      </c>
      <c r="G99" s="20">
        <f t="shared" si="5"/>
        <v>46169</v>
      </c>
      <c r="H99" s="12">
        <v>1176</v>
      </c>
      <c r="I99" s="12">
        <v>920</v>
      </c>
      <c r="J99" s="12">
        <v>25</v>
      </c>
      <c r="K99" s="12">
        <v>132</v>
      </c>
      <c r="L99" s="12">
        <v>40</v>
      </c>
      <c r="M99" s="12">
        <v>1</v>
      </c>
      <c r="N99" s="12">
        <v>4</v>
      </c>
      <c r="O99" s="12">
        <v>1</v>
      </c>
      <c r="P99" s="12">
        <v>0</v>
      </c>
      <c r="Q99" s="12">
        <v>0</v>
      </c>
      <c r="R99" s="12">
        <v>1</v>
      </c>
      <c r="S99" s="12">
        <v>0</v>
      </c>
      <c r="T99" s="12">
        <v>31</v>
      </c>
      <c r="U99" s="12">
        <v>0</v>
      </c>
      <c r="V99" s="12">
        <v>0</v>
      </c>
      <c r="W99" s="12">
        <v>0</v>
      </c>
      <c r="X99" s="12">
        <v>0</v>
      </c>
      <c r="Y99" s="12">
        <v>0</v>
      </c>
      <c r="Z99" s="12">
        <v>0</v>
      </c>
      <c r="AA99" s="12">
        <v>0</v>
      </c>
      <c r="AB99" s="12">
        <v>0</v>
      </c>
      <c r="AC99" s="13">
        <f t="shared" si="4"/>
        <v>2331</v>
      </c>
    </row>
    <row r="100" spans="1:29" ht="24.95" hidden="1" customHeight="1" x14ac:dyDescent="0.25">
      <c r="A100" s="19" t="s">
        <v>503</v>
      </c>
      <c r="B100" s="19" t="s">
        <v>375</v>
      </c>
      <c r="C100" s="19" t="s">
        <v>504</v>
      </c>
      <c r="D100" s="24">
        <v>-3.9736150000000001</v>
      </c>
      <c r="E100" s="24">
        <v>-40.704729</v>
      </c>
      <c r="F100" s="20">
        <v>46194</v>
      </c>
      <c r="G100" s="20">
        <f t="shared" si="5"/>
        <v>46196</v>
      </c>
      <c r="H100" s="12">
        <v>1302</v>
      </c>
      <c r="I100" s="12">
        <v>1432</v>
      </c>
      <c r="J100" s="12">
        <v>12</v>
      </c>
      <c r="K100" s="12">
        <v>121</v>
      </c>
      <c r="L100" s="12">
        <v>19</v>
      </c>
      <c r="M100" s="12">
        <v>6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12">
        <v>22</v>
      </c>
      <c r="U100" s="12">
        <v>0</v>
      </c>
      <c r="V100" s="12">
        <v>0</v>
      </c>
      <c r="W100" s="12">
        <v>0</v>
      </c>
      <c r="X100" s="12">
        <v>0</v>
      </c>
      <c r="Y100" s="12">
        <v>0</v>
      </c>
      <c r="Z100" s="12">
        <v>0</v>
      </c>
      <c r="AA100" s="12">
        <v>0</v>
      </c>
      <c r="AB100" s="12">
        <v>0</v>
      </c>
      <c r="AC100" s="13">
        <f t="shared" si="4"/>
        <v>2914</v>
      </c>
    </row>
    <row r="101" spans="1:29" ht="24.95" hidden="1" customHeight="1" x14ac:dyDescent="0.25">
      <c r="A101" s="19" t="s">
        <v>508</v>
      </c>
      <c r="B101" s="19" t="s">
        <v>509</v>
      </c>
      <c r="C101" s="19" t="s">
        <v>510</v>
      </c>
      <c r="D101" s="21"/>
      <c r="E101" s="21"/>
      <c r="F101" s="20"/>
      <c r="G101" s="20">
        <f t="shared" si="5"/>
        <v>2</v>
      </c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3">
        <f t="shared" si="4"/>
        <v>0</v>
      </c>
    </row>
    <row r="102" spans="1:29" ht="24.95" hidden="1" customHeight="1" x14ac:dyDescent="0.25">
      <c r="A102" s="19" t="s">
        <v>514</v>
      </c>
      <c r="B102" s="19" t="s">
        <v>515</v>
      </c>
      <c r="C102" s="19" t="s">
        <v>516</v>
      </c>
      <c r="D102" s="21"/>
      <c r="E102" s="21"/>
      <c r="F102" s="20"/>
      <c r="G102" s="20">
        <f t="shared" si="5"/>
        <v>2</v>
      </c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3">
        <f t="shared" si="4"/>
        <v>0</v>
      </c>
    </row>
    <row r="103" spans="1:29" ht="24.95" hidden="1" customHeight="1" x14ac:dyDescent="0.25">
      <c r="A103" s="19" t="s">
        <v>164</v>
      </c>
      <c r="B103" s="19" t="s">
        <v>165</v>
      </c>
      <c r="C103" s="19" t="s">
        <v>823</v>
      </c>
      <c r="D103" s="21">
        <v>-4.8596729999999999</v>
      </c>
      <c r="E103" s="21">
        <v>-39.052987999999999</v>
      </c>
      <c r="F103" s="20">
        <v>46111</v>
      </c>
      <c r="G103" s="20">
        <f t="shared" si="5"/>
        <v>46113</v>
      </c>
      <c r="H103" s="12">
        <v>445</v>
      </c>
      <c r="I103" s="12">
        <v>1939</v>
      </c>
      <c r="J103" s="12">
        <v>22</v>
      </c>
      <c r="K103" s="12">
        <v>42</v>
      </c>
      <c r="L103" s="12">
        <v>31</v>
      </c>
      <c r="M103" s="12">
        <v>3</v>
      </c>
      <c r="N103" s="12">
        <v>1</v>
      </c>
      <c r="O103" s="12">
        <v>0</v>
      </c>
      <c r="P103" s="12">
        <v>1</v>
      </c>
      <c r="Q103" s="12">
        <v>0</v>
      </c>
      <c r="R103" s="12">
        <v>1</v>
      </c>
      <c r="S103" s="12">
        <v>1</v>
      </c>
      <c r="T103" s="12">
        <v>12</v>
      </c>
      <c r="U103" s="12">
        <v>1</v>
      </c>
      <c r="V103" s="12">
        <v>0</v>
      </c>
      <c r="W103" s="12">
        <v>0</v>
      </c>
      <c r="X103" s="12">
        <v>0</v>
      </c>
      <c r="Y103" s="12">
        <v>0</v>
      </c>
      <c r="Z103" s="12">
        <v>0</v>
      </c>
      <c r="AA103" s="12">
        <v>0</v>
      </c>
      <c r="AB103" s="12">
        <v>0</v>
      </c>
      <c r="AC103" s="13">
        <f t="shared" si="4"/>
        <v>2499</v>
      </c>
    </row>
    <row r="104" spans="1:29" ht="24.95" hidden="1" customHeight="1" x14ac:dyDescent="0.25">
      <c r="A104" s="19" t="s">
        <v>520</v>
      </c>
      <c r="B104" s="19" t="s">
        <v>521</v>
      </c>
      <c r="C104" s="19" t="s">
        <v>522</v>
      </c>
      <c r="D104" s="21">
        <v>-4.4447369999999999</v>
      </c>
      <c r="E104" s="21">
        <v>-38.662745999999999</v>
      </c>
      <c r="F104" s="20">
        <v>46107</v>
      </c>
      <c r="G104" s="20">
        <f t="shared" si="5"/>
        <v>46109</v>
      </c>
      <c r="H104" s="12">
        <v>554</v>
      </c>
      <c r="I104" s="12">
        <v>1798</v>
      </c>
      <c r="J104" s="12">
        <v>9</v>
      </c>
      <c r="K104" s="12">
        <v>98</v>
      </c>
      <c r="L104" s="12">
        <v>30</v>
      </c>
      <c r="M104" s="12">
        <v>11</v>
      </c>
      <c r="N104" s="12">
        <v>3</v>
      </c>
      <c r="O104" s="12">
        <v>1</v>
      </c>
      <c r="P104" s="12">
        <v>0</v>
      </c>
      <c r="Q104" s="12">
        <v>3</v>
      </c>
      <c r="R104" s="12">
        <v>2</v>
      </c>
      <c r="S104" s="12">
        <v>3</v>
      </c>
      <c r="T104" s="12">
        <v>19</v>
      </c>
      <c r="U104" s="12">
        <v>1</v>
      </c>
      <c r="V104" s="12">
        <v>0</v>
      </c>
      <c r="W104" s="12">
        <v>0</v>
      </c>
      <c r="X104" s="12">
        <v>0</v>
      </c>
      <c r="Y104" s="12">
        <v>0</v>
      </c>
      <c r="Z104" s="12">
        <v>0</v>
      </c>
      <c r="AA104" s="12">
        <v>0</v>
      </c>
      <c r="AB104" s="12">
        <v>1</v>
      </c>
      <c r="AC104" s="13">
        <f t="shared" si="4"/>
        <v>2533</v>
      </c>
    </row>
    <row r="105" spans="1:29" ht="24.95" hidden="1" customHeight="1" x14ac:dyDescent="0.25">
      <c r="A105" s="19" t="s">
        <v>526</v>
      </c>
      <c r="B105" s="19" t="s">
        <v>527</v>
      </c>
      <c r="C105" s="19" t="s">
        <v>528</v>
      </c>
      <c r="D105" s="21">
        <v>-5.1705110000000003</v>
      </c>
      <c r="E105" s="21">
        <v>-40.708150000000003</v>
      </c>
      <c r="F105" s="20">
        <v>46125</v>
      </c>
      <c r="G105" s="20">
        <f t="shared" si="5"/>
        <v>46127</v>
      </c>
      <c r="H105" s="12">
        <v>1061</v>
      </c>
      <c r="I105" s="12">
        <v>795</v>
      </c>
      <c r="J105" s="12">
        <v>16</v>
      </c>
      <c r="K105" s="12">
        <v>122</v>
      </c>
      <c r="L105" s="12">
        <v>62</v>
      </c>
      <c r="M105" s="12">
        <v>8</v>
      </c>
      <c r="N105" s="12">
        <v>7</v>
      </c>
      <c r="O105" s="12">
        <v>1</v>
      </c>
      <c r="P105" s="12">
        <v>7</v>
      </c>
      <c r="Q105" s="12">
        <v>6</v>
      </c>
      <c r="R105" s="12">
        <v>3</v>
      </c>
      <c r="S105" s="12">
        <v>0</v>
      </c>
      <c r="T105" s="12">
        <v>34</v>
      </c>
      <c r="U105" s="12">
        <v>0</v>
      </c>
      <c r="V105" s="12">
        <v>0</v>
      </c>
      <c r="W105" s="12">
        <v>0</v>
      </c>
      <c r="X105" s="12">
        <v>0</v>
      </c>
      <c r="Y105" s="12">
        <v>0</v>
      </c>
      <c r="Z105" s="12">
        <v>1</v>
      </c>
      <c r="AA105" s="12">
        <v>0</v>
      </c>
      <c r="AB105" s="12">
        <v>1</v>
      </c>
      <c r="AC105" s="13">
        <f t="shared" si="4"/>
        <v>2124</v>
      </c>
    </row>
    <row r="106" spans="1:29" ht="24.95" hidden="1" customHeight="1" x14ac:dyDescent="0.25">
      <c r="A106" s="19" t="s">
        <v>532</v>
      </c>
      <c r="B106" s="19" t="s">
        <v>479</v>
      </c>
      <c r="C106" s="19" t="s">
        <v>533</v>
      </c>
      <c r="D106" s="21">
        <v>-4.5701299999999998</v>
      </c>
      <c r="E106" s="21">
        <v>-37.734990000000003</v>
      </c>
      <c r="F106" s="20">
        <v>46173</v>
      </c>
      <c r="G106" s="20">
        <v>46175</v>
      </c>
      <c r="H106" s="12">
        <v>1508</v>
      </c>
      <c r="I106" s="12">
        <v>4085</v>
      </c>
      <c r="J106" s="12">
        <v>115</v>
      </c>
      <c r="K106" s="12">
        <v>302</v>
      </c>
      <c r="L106" s="12">
        <v>40</v>
      </c>
      <c r="M106" s="12">
        <v>10</v>
      </c>
      <c r="N106" s="12">
        <v>47</v>
      </c>
      <c r="O106" s="12">
        <v>1</v>
      </c>
      <c r="P106" s="12">
        <v>0</v>
      </c>
      <c r="Q106" s="12">
        <v>0</v>
      </c>
      <c r="R106" s="12">
        <v>2</v>
      </c>
      <c r="S106" s="12">
        <v>1</v>
      </c>
      <c r="T106" s="12">
        <v>53</v>
      </c>
      <c r="U106" s="12">
        <v>1</v>
      </c>
      <c r="V106" s="12">
        <v>1</v>
      </c>
      <c r="W106" s="12">
        <v>0</v>
      </c>
      <c r="X106" s="12">
        <v>0</v>
      </c>
      <c r="Y106" s="12">
        <v>0</v>
      </c>
      <c r="Z106" s="12">
        <v>0</v>
      </c>
      <c r="AA106" s="12">
        <v>0</v>
      </c>
      <c r="AB106" s="12">
        <v>0</v>
      </c>
      <c r="AC106" s="13">
        <f t="shared" si="4"/>
        <v>6166</v>
      </c>
    </row>
    <row r="107" spans="1:29" ht="24.95" hidden="1" customHeight="1" x14ac:dyDescent="0.25">
      <c r="A107" s="19" t="s">
        <v>537</v>
      </c>
      <c r="B107" s="19" t="s">
        <v>356</v>
      </c>
      <c r="C107" s="19" t="s">
        <v>538</v>
      </c>
      <c r="D107" s="21"/>
      <c r="E107" s="21"/>
      <c r="F107" s="20"/>
      <c r="G107" s="20">
        <f t="shared" si="5"/>
        <v>2</v>
      </c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3">
        <f t="shared" si="4"/>
        <v>0</v>
      </c>
    </row>
    <row r="108" spans="1:29" ht="24.95" hidden="1" customHeight="1" x14ac:dyDescent="0.25">
      <c r="A108" s="19" t="s">
        <v>170</v>
      </c>
      <c r="B108" s="19" t="s">
        <v>12</v>
      </c>
      <c r="C108" s="19" t="s">
        <v>171</v>
      </c>
      <c r="D108" s="24" t="s">
        <v>849</v>
      </c>
      <c r="E108" s="24" t="s">
        <v>850</v>
      </c>
      <c r="F108" s="20">
        <v>46142</v>
      </c>
      <c r="G108" s="20">
        <f t="shared" si="5"/>
        <v>46144</v>
      </c>
      <c r="H108" s="12">
        <v>755</v>
      </c>
      <c r="I108" s="12">
        <v>836</v>
      </c>
      <c r="J108" s="12">
        <v>30</v>
      </c>
      <c r="K108" s="12">
        <v>175</v>
      </c>
      <c r="L108" s="12">
        <v>60</v>
      </c>
      <c r="M108" s="12">
        <v>7</v>
      </c>
      <c r="N108" s="12">
        <v>15</v>
      </c>
      <c r="O108" s="12">
        <v>4</v>
      </c>
      <c r="P108" s="12">
        <v>0</v>
      </c>
      <c r="Q108" s="12">
        <v>4</v>
      </c>
      <c r="R108" s="12">
        <v>11</v>
      </c>
      <c r="S108" s="12">
        <v>2</v>
      </c>
      <c r="T108" s="12">
        <v>41</v>
      </c>
      <c r="U108" s="12">
        <v>0</v>
      </c>
      <c r="V108" s="12">
        <v>0</v>
      </c>
      <c r="W108" s="12">
        <v>1</v>
      </c>
      <c r="X108" s="12">
        <v>0</v>
      </c>
      <c r="Y108" s="12">
        <v>0</v>
      </c>
      <c r="Z108" s="12">
        <v>13</v>
      </c>
      <c r="AA108" s="12">
        <v>2</v>
      </c>
      <c r="AB108" s="12">
        <v>17</v>
      </c>
      <c r="AC108" s="13">
        <f t="shared" si="4"/>
        <v>1973</v>
      </c>
    </row>
    <row r="109" spans="1:29" ht="24.95" hidden="1" customHeight="1" x14ac:dyDescent="0.25">
      <c r="A109" s="19" t="s">
        <v>542</v>
      </c>
      <c r="B109" s="19" t="s">
        <v>42</v>
      </c>
      <c r="C109" s="19" t="s">
        <v>543</v>
      </c>
      <c r="D109" s="24">
        <v>-3.6776800000000001</v>
      </c>
      <c r="E109" s="26">
        <v>-38.859572</v>
      </c>
      <c r="F109" s="20">
        <v>46177</v>
      </c>
      <c r="G109" s="20">
        <f t="shared" si="5"/>
        <v>46179</v>
      </c>
      <c r="H109" s="12">
        <v>692</v>
      </c>
      <c r="I109" s="12">
        <v>2664</v>
      </c>
      <c r="J109" s="12">
        <v>67</v>
      </c>
      <c r="K109" s="12">
        <v>485</v>
      </c>
      <c r="L109" s="12">
        <v>197</v>
      </c>
      <c r="M109" s="12">
        <v>38</v>
      </c>
      <c r="N109" s="12">
        <v>200</v>
      </c>
      <c r="O109" s="12">
        <v>83</v>
      </c>
      <c r="P109" s="12">
        <v>17</v>
      </c>
      <c r="Q109" s="12">
        <v>139</v>
      </c>
      <c r="R109" s="12">
        <v>87</v>
      </c>
      <c r="S109" s="12">
        <v>9</v>
      </c>
      <c r="T109" s="12">
        <v>38</v>
      </c>
      <c r="U109" s="12">
        <v>7</v>
      </c>
      <c r="V109" s="12">
        <v>1</v>
      </c>
      <c r="W109" s="12">
        <v>29</v>
      </c>
      <c r="X109" s="12">
        <v>0</v>
      </c>
      <c r="Y109" s="12">
        <v>2</v>
      </c>
      <c r="Z109" s="12">
        <v>51</v>
      </c>
      <c r="AA109" s="12">
        <v>42</v>
      </c>
      <c r="AB109" s="12">
        <v>44</v>
      </c>
      <c r="AC109" s="13">
        <f t="shared" si="4"/>
        <v>4892</v>
      </c>
    </row>
    <row r="110" spans="1:29" ht="24.95" hidden="1" customHeight="1" x14ac:dyDescent="0.25">
      <c r="A110" s="19" t="s">
        <v>546</v>
      </c>
      <c r="B110" s="19" t="s">
        <v>547</v>
      </c>
      <c r="C110" s="19" t="s">
        <v>548</v>
      </c>
      <c r="D110" s="21">
        <v>-3.6978119999999999</v>
      </c>
      <c r="E110" s="21">
        <v>-40.307443999999997</v>
      </c>
      <c r="F110" s="20">
        <v>46119</v>
      </c>
      <c r="G110" s="20">
        <f t="shared" si="5"/>
        <v>46121</v>
      </c>
      <c r="H110" s="12">
        <v>1091</v>
      </c>
      <c r="I110" s="12">
        <v>3555</v>
      </c>
      <c r="J110" s="12">
        <v>56</v>
      </c>
      <c r="K110" s="12">
        <v>320</v>
      </c>
      <c r="L110" s="12">
        <v>57</v>
      </c>
      <c r="M110" s="12">
        <v>3</v>
      </c>
      <c r="N110" s="12">
        <v>29</v>
      </c>
      <c r="O110" s="12">
        <v>3</v>
      </c>
      <c r="P110" s="12">
        <v>0</v>
      </c>
      <c r="Q110" s="12">
        <v>0</v>
      </c>
      <c r="R110" s="12">
        <v>1</v>
      </c>
      <c r="S110" s="12">
        <v>3</v>
      </c>
      <c r="T110" s="12">
        <v>41</v>
      </c>
      <c r="U110" s="12">
        <v>8</v>
      </c>
      <c r="V110" s="12">
        <v>1</v>
      </c>
      <c r="W110" s="12">
        <v>1</v>
      </c>
      <c r="X110" s="12">
        <v>0</v>
      </c>
      <c r="Y110" s="12">
        <v>0</v>
      </c>
      <c r="Z110" s="12">
        <v>2</v>
      </c>
      <c r="AA110" s="12">
        <v>0</v>
      </c>
      <c r="AB110" s="12">
        <v>0</v>
      </c>
      <c r="AC110" s="13">
        <f t="shared" si="4"/>
        <v>5171</v>
      </c>
    </row>
    <row r="111" spans="1:29" ht="24.95" hidden="1" customHeight="1" x14ac:dyDescent="0.25">
      <c r="A111" s="19" t="s">
        <v>552</v>
      </c>
      <c r="B111" s="19" t="s">
        <v>208</v>
      </c>
      <c r="C111" s="19" t="s">
        <v>553</v>
      </c>
      <c r="D111" s="21">
        <v>-5.2113269999999998</v>
      </c>
      <c r="E111" s="21">
        <v>-40.696823000000002</v>
      </c>
      <c r="F111" s="20">
        <v>46125</v>
      </c>
      <c r="G111" s="20">
        <f t="shared" si="5"/>
        <v>46127</v>
      </c>
      <c r="H111" s="12">
        <v>2255</v>
      </c>
      <c r="I111" s="12">
        <v>2562</v>
      </c>
      <c r="J111" s="12">
        <v>41</v>
      </c>
      <c r="K111" s="12">
        <v>416</v>
      </c>
      <c r="L111" s="12">
        <v>96</v>
      </c>
      <c r="M111" s="12">
        <v>14</v>
      </c>
      <c r="N111" s="12">
        <v>47</v>
      </c>
      <c r="O111" s="12">
        <v>3</v>
      </c>
      <c r="P111" s="12">
        <v>4</v>
      </c>
      <c r="Q111" s="12">
        <v>10</v>
      </c>
      <c r="R111" s="12">
        <v>11</v>
      </c>
      <c r="S111" s="12">
        <v>1</v>
      </c>
      <c r="T111" s="12">
        <v>79</v>
      </c>
      <c r="U111" s="12">
        <v>1</v>
      </c>
      <c r="V111" s="12">
        <v>0</v>
      </c>
      <c r="W111" s="12">
        <v>0</v>
      </c>
      <c r="X111" s="12">
        <v>1</v>
      </c>
      <c r="Y111" s="12">
        <v>0</v>
      </c>
      <c r="Z111" s="12">
        <v>1</v>
      </c>
      <c r="AA111" s="12">
        <v>0</v>
      </c>
      <c r="AB111" s="12">
        <v>1</v>
      </c>
      <c r="AC111" s="13">
        <f t="shared" si="4"/>
        <v>5543</v>
      </c>
    </row>
    <row r="112" spans="1:29" ht="24.95" hidden="1" customHeight="1" x14ac:dyDescent="0.25">
      <c r="A112" s="19" t="s">
        <v>557</v>
      </c>
      <c r="B112" s="19" t="s">
        <v>208</v>
      </c>
      <c r="C112" s="19" t="s">
        <v>558</v>
      </c>
      <c r="D112" s="21">
        <v>-4.3822749999999999</v>
      </c>
      <c r="E112" s="21">
        <v>-40.712611000000003</v>
      </c>
      <c r="F112" s="20">
        <v>46131</v>
      </c>
      <c r="G112" s="20">
        <f t="shared" si="5"/>
        <v>46133</v>
      </c>
      <c r="H112" s="12">
        <v>1509</v>
      </c>
      <c r="I112" s="12">
        <v>2008</v>
      </c>
      <c r="J112" s="12">
        <v>31</v>
      </c>
      <c r="K112" s="12">
        <v>343</v>
      </c>
      <c r="L112" s="12">
        <v>110</v>
      </c>
      <c r="M112" s="12">
        <v>16</v>
      </c>
      <c r="N112" s="12">
        <v>31</v>
      </c>
      <c r="O112" s="12">
        <v>2</v>
      </c>
      <c r="P112" s="12">
        <v>1</v>
      </c>
      <c r="Q112" s="12">
        <v>4</v>
      </c>
      <c r="R112" s="12">
        <v>2</v>
      </c>
      <c r="S112" s="12">
        <v>9</v>
      </c>
      <c r="T112" s="12">
        <v>65</v>
      </c>
      <c r="U112" s="12">
        <v>0</v>
      </c>
      <c r="V112" s="12">
        <v>1</v>
      </c>
      <c r="W112" s="12">
        <v>2</v>
      </c>
      <c r="X112" s="12">
        <v>0</v>
      </c>
      <c r="Y112" s="12">
        <v>0</v>
      </c>
      <c r="Z112" s="12">
        <v>1</v>
      </c>
      <c r="AA112" s="12">
        <v>0</v>
      </c>
      <c r="AB112" s="12">
        <v>0</v>
      </c>
      <c r="AC112" s="13">
        <f t="shared" si="4"/>
        <v>4135</v>
      </c>
    </row>
    <row r="113" spans="1:29" ht="24.95" hidden="1" customHeight="1" x14ac:dyDescent="0.25">
      <c r="A113" s="19" t="s">
        <v>562</v>
      </c>
      <c r="B113" s="19" t="s">
        <v>563</v>
      </c>
      <c r="C113" s="19" t="s">
        <v>564</v>
      </c>
      <c r="D113" s="21"/>
      <c r="E113" s="21"/>
      <c r="F113" s="20"/>
      <c r="G113" s="20">
        <f t="shared" si="5"/>
        <v>2</v>
      </c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3">
        <f t="shared" si="4"/>
        <v>0</v>
      </c>
    </row>
    <row r="114" spans="1:29" ht="24.95" hidden="1" customHeight="1" x14ac:dyDescent="0.25">
      <c r="A114" s="19" t="s">
        <v>568</v>
      </c>
      <c r="B114" s="19" t="s">
        <v>479</v>
      </c>
      <c r="C114" s="19" t="s">
        <v>569</v>
      </c>
      <c r="D114" s="24">
        <v>-5.2495240000000001</v>
      </c>
      <c r="E114" s="24">
        <v>-38.492610999999997</v>
      </c>
      <c r="F114" s="20">
        <v>46145</v>
      </c>
      <c r="G114" s="20">
        <f t="shared" si="5"/>
        <v>46147</v>
      </c>
      <c r="H114" s="12">
        <v>501</v>
      </c>
      <c r="I114" s="12">
        <v>2131</v>
      </c>
      <c r="J114" s="12">
        <v>74</v>
      </c>
      <c r="K114" s="12">
        <v>126</v>
      </c>
      <c r="L114" s="12">
        <v>45</v>
      </c>
      <c r="M114" s="12">
        <v>5</v>
      </c>
      <c r="N114" s="12">
        <v>13</v>
      </c>
      <c r="O114" s="12">
        <v>2</v>
      </c>
      <c r="P114" s="12">
        <v>0</v>
      </c>
      <c r="Q114" s="12">
        <v>4</v>
      </c>
      <c r="R114" s="12">
        <v>3</v>
      </c>
      <c r="S114" s="12">
        <v>1</v>
      </c>
      <c r="T114" s="12">
        <v>34</v>
      </c>
      <c r="U114" s="12">
        <v>3</v>
      </c>
      <c r="V114" s="12">
        <v>0</v>
      </c>
      <c r="W114" s="12">
        <v>1</v>
      </c>
      <c r="X114" s="12">
        <v>0</v>
      </c>
      <c r="Y114" s="12">
        <v>0</v>
      </c>
      <c r="Z114" s="12">
        <v>4</v>
      </c>
      <c r="AA114" s="12">
        <v>0</v>
      </c>
      <c r="AB114" s="12">
        <v>0</v>
      </c>
      <c r="AC114" s="13">
        <f t="shared" si="4"/>
        <v>2947</v>
      </c>
    </row>
    <row r="115" spans="1:29" ht="24.95" hidden="1" customHeight="1" x14ac:dyDescent="0.25">
      <c r="A115" s="19" t="s">
        <v>573</v>
      </c>
      <c r="B115" s="19" t="s">
        <v>574</v>
      </c>
      <c r="C115" s="19" t="s">
        <v>575</v>
      </c>
      <c r="D115" s="21"/>
      <c r="E115" s="21"/>
      <c r="F115" s="20"/>
      <c r="G115" s="20">
        <f t="shared" si="5"/>
        <v>2</v>
      </c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3">
        <f t="shared" si="4"/>
        <v>0</v>
      </c>
    </row>
    <row r="116" spans="1:29" ht="24.95" hidden="1" customHeight="1" x14ac:dyDescent="0.25">
      <c r="A116" s="19" t="s">
        <v>579</v>
      </c>
      <c r="B116" s="19" t="s">
        <v>580</v>
      </c>
      <c r="C116" s="19" t="s">
        <v>581</v>
      </c>
      <c r="D116" s="21"/>
      <c r="E116" s="21"/>
      <c r="F116" s="20"/>
      <c r="G116" s="20">
        <f t="shared" si="5"/>
        <v>2</v>
      </c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3">
        <f t="shared" si="4"/>
        <v>0</v>
      </c>
    </row>
    <row r="117" spans="1:29" ht="24.95" hidden="1" customHeight="1" x14ac:dyDescent="0.25">
      <c r="A117" s="19" t="s">
        <v>584</v>
      </c>
      <c r="B117" s="19" t="s">
        <v>142</v>
      </c>
      <c r="C117" s="19" t="s">
        <v>585</v>
      </c>
      <c r="D117" s="21">
        <v>-4.5799000000000003</v>
      </c>
      <c r="E117" s="21">
        <v>-37.851900000000001</v>
      </c>
      <c r="F117" s="20">
        <v>46173</v>
      </c>
      <c r="G117" s="20">
        <v>46175</v>
      </c>
      <c r="H117" s="12">
        <v>648</v>
      </c>
      <c r="I117" s="12">
        <v>1856</v>
      </c>
      <c r="J117" s="12">
        <v>44</v>
      </c>
      <c r="K117" s="12">
        <v>242</v>
      </c>
      <c r="L117" s="12">
        <v>109</v>
      </c>
      <c r="M117" s="12">
        <v>17</v>
      </c>
      <c r="N117" s="12">
        <v>132</v>
      </c>
      <c r="O117" s="12">
        <v>53</v>
      </c>
      <c r="P117" s="12">
        <v>13</v>
      </c>
      <c r="Q117" s="12">
        <v>50</v>
      </c>
      <c r="R117" s="12">
        <v>101</v>
      </c>
      <c r="S117" s="12">
        <v>3</v>
      </c>
      <c r="T117" s="12">
        <v>49</v>
      </c>
      <c r="U117" s="12">
        <v>5</v>
      </c>
      <c r="V117" s="12">
        <v>2</v>
      </c>
      <c r="W117" s="12">
        <v>16</v>
      </c>
      <c r="X117" s="12">
        <v>11</v>
      </c>
      <c r="Y117" s="12">
        <v>2</v>
      </c>
      <c r="Z117" s="12">
        <v>37</v>
      </c>
      <c r="AA117" s="12">
        <v>61</v>
      </c>
      <c r="AB117" s="12">
        <v>19</v>
      </c>
      <c r="AC117" s="13">
        <f t="shared" si="4"/>
        <v>3470</v>
      </c>
    </row>
    <row r="118" spans="1:29" ht="24.95" hidden="1" customHeight="1" x14ac:dyDescent="0.25">
      <c r="A118" s="19" t="s">
        <v>589</v>
      </c>
      <c r="B118" s="19" t="s">
        <v>104</v>
      </c>
      <c r="C118" s="19" t="s">
        <v>590</v>
      </c>
      <c r="D118" s="21"/>
      <c r="E118" s="21"/>
      <c r="F118" s="20"/>
      <c r="G118" s="20">
        <f t="shared" si="5"/>
        <v>2</v>
      </c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3">
        <f t="shared" si="4"/>
        <v>0</v>
      </c>
    </row>
    <row r="119" spans="1:29" ht="24.95" hidden="1" customHeight="1" x14ac:dyDescent="0.25">
      <c r="A119" s="19" t="s">
        <v>11</v>
      </c>
      <c r="B119" s="19" t="s">
        <v>12</v>
      </c>
      <c r="C119" s="19" t="s">
        <v>13</v>
      </c>
      <c r="D119" s="21">
        <v>-4.7521800000000001</v>
      </c>
      <c r="E119" s="21">
        <v>-40.837868</v>
      </c>
      <c r="F119" s="20">
        <v>46128</v>
      </c>
      <c r="G119" s="20">
        <f t="shared" si="5"/>
        <v>46130</v>
      </c>
      <c r="H119" s="12">
        <v>611</v>
      </c>
      <c r="I119" s="12">
        <v>498</v>
      </c>
      <c r="J119" s="12">
        <v>41</v>
      </c>
      <c r="K119" s="12">
        <v>117</v>
      </c>
      <c r="L119" s="12">
        <v>27</v>
      </c>
      <c r="M119" s="12">
        <v>4</v>
      </c>
      <c r="N119" s="12">
        <v>1</v>
      </c>
      <c r="O119" s="12">
        <v>0</v>
      </c>
      <c r="P119" s="12">
        <v>0</v>
      </c>
      <c r="Q119" s="12">
        <v>0</v>
      </c>
      <c r="R119" s="12">
        <v>1</v>
      </c>
      <c r="S119" s="12">
        <v>0</v>
      </c>
      <c r="T119" s="12">
        <v>20</v>
      </c>
      <c r="U119" s="12">
        <v>0</v>
      </c>
      <c r="V119" s="12">
        <v>0</v>
      </c>
      <c r="W119" s="12">
        <v>0</v>
      </c>
      <c r="X119" s="12">
        <v>0</v>
      </c>
      <c r="Y119" s="12">
        <v>0</v>
      </c>
      <c r="Z119" s="12">
        <v>0</v>
      </c>
      <c r="AA119" s="12">
        <v>0</v>
      </c>
      <c r="AB119" s="12">
        <v>0</v>
      </c>
      <c r="AC119" s="13">
        <f t="shared" si="4"/>
        <v>1320</v>
      </c>
    </row>
    <row r="120" spans="1:29" ht="24.95" hidden="1" customHeight="1" x14ac:dyDescent="0.25">
      <c r="A120" s="19" t="s">
        <v>20</v>
      </c>
      <c r="B120" s="19" t="s">
        <v>12</v>
      </c>
      <c r="C120" s="19" t="s">
        <v>21</v>
      </c>
      <c r="D120" s="21">
        <v>-4.7480820000000001</v>
      </c>
      <c r="E120" s="21">
        <v>-40.788862999999999</v>
      </c>
      <c r="F120" s="20">
        <v>46128</v>
      </c>
      <c r="G120" s="20">
        <f t="shared" si="5"/>
        <v>46130</v>
      </c>
      <c r="H120" s="12">
        <v>1028</v>
      </c>
      <c r="I120" s="12">
        <v>538</v>
      </c>
      <c r="J120" s="12">
        <v>18</v>
      </c>
      <c r="K120" s="12">
        <v>133</v>
      </c>
      <c r="L120" s="12">
        <v>20</v>
      </c>
      <c r="M120" s="12">
        <v>11</v>
      </c>
      <c r="N120" s="12">
        <v>1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12">
        <v>24</v>
      </c>
      <c r="U120" s="12">
        <v>0</v>
      </c>
      <c r="V120" s="12">
        <v>0</v>
      </c>
      <c r="W120" s="12">
        <v>0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3">
        <f t="shared" si="4"/>
        <v>1773</v>
      </c>
    </row>
    <row r="121" spans="1:29" ht="24.95" hidden="1" customHeight="1" x14ac:dyDescent="0.25">
      <c r="A121" s="19" t="s">
        <v>24</v>
      </c>
      <c r="B121" s="19" t="s">
        <v>25</v>
      </c>
      <c r="C121" s="19" t="s">
        <v>26</v>
      </c>
      <c r="D121" s="24">
        <v>-4.8189970000000004</v>
      </c>
      <c r="E121" s="24">
        <v>-37.872013000000003</v>
      </c>
      <c r="F121" s="20">
        <v>46170</v>
      </c>
      <c r="G121" s="20">
        <f t="shared" si="5"/>
        <v>46172</v>
      </c>
      <c r="H121" s="12">
        <v>368</v>
      </c>
      <c r="I121" s="12">
        <v>1843</v>
      </c>
      <c r="J121" s="12">
        <v>30</v>
      </c>
      <c r="K121" s="12">
        <v>231</v>
      </c>
      <c r="L121" s="12">
        <v>46</v>
      </c>
      <c r="M121" s="12">
        <v>13</v>
      </c>
      <c r="N121" s="12">
        <v>4</v>
      </c>
      <c r="O121" s="12">
        <v>0</v>
      </c>
      <c r="P121" s="12">
        <v>0</v>
      </c>
      <c r="Q121" s="12">
        <v>4</v>
      </c>
      <c r="R121" s="12">
        <v>3</v>
      </c>
      <c r="S121" s="12">
        <v>1</v>
      </c>
      <c r="T121" s="12">
        <v>12</v>
      </c>
      <c r="U121" s="12">
        <v>0</v>
      </c>
      <c r="V121" s="12">
        <v>0</v>
      </c>
      <c r="W121" s="12">
        <v>0</v>
      </c>
      <c r="X121" s="12">
        <v>0</v>
      </c>
      <c r="Y121" s="12">
        <v>0</v>
      </c>
      <c r="Z121" s="12">
        <v>0</v>
      </c>
      <c r="AA121" s="12">
        <v>1</v>
      </c>
      <c r="AB121" s="12">
        <v>0</v>
      </c>
      <c r="AC121" s="13">
        <f t="shared" si="4"/>
        <v>2556</v>
      </c>
    </row>
    <row r="122" spans="1:29" ht="24.95" hidden="1" customHeight="1" x14ac:dyDescent="0.25">
      <c r="A122" s="19" t="s">
        <v>30</v>
      </c>
      <c r="B122" s="19" t="s">
        <v>12</v>
      </c>
      <c r="C122" s="19" t="s">
        <v>31</v>
      </c>
      <c r="D122" s="21">
        <v>-4.9643360000000003</v>
      </c>
      <c r="E122" s="21">
        <v>-38.996361</v>
      </c>
      <c r="F122" s="20">
        <v>46111</v>
      </c>
      <c r="G122" s="20">
        <f t="shared" si="5"/>
        <v>46113</v>
      </c>
      <c r="H122" s="12">
        <v>1909</v>
      </c>
      <c r="I122" s="12">
        <v>2215</v>
      </c>
      <c r="J122" s="12">
        <v>51</v>
      </c>
      <c r="K122" s="12">
        <v>438</v>
      </c>
      <c r="L122" s="12">
        <v>140</v>
      </c>
      <c r="M122" s="12">
        <v>13</v>
      </c>
      <c r="N122" s="12">
        <v>32</v>
      </c>
      <c r="O122" s="12">
        <v>3</v>
      </c>
      <c r="P122" s="12">
        <v>6</v>
      </c>
      <c r="Q122" s="12">
        <v>11</v>
      </c>
      <c r="R122" s="12">
        <v>15</v>
      </c>
      <c r="S122" s="12">
        <v>5</v>
      </c>
      <c r="T122" s="12">
        <v>61</v>
      </c>
      <c r="U122" s="12">
        <v>1</v>
      </c>
      <c r="V122" s="12">
        <v>0</v>
      </c>
      <c r="W122" s="12">
        <v>1</v>
      </c>
      <c r="X122" s="12">
        <v>1</v>
      </c>
      <c r="Y122" s="12">
        <v>0</v>
      </c>
      <c r="Z122" s="12">
        <v>1</v>
      </c>
      <c r="AA122" s="12">
        <v>4</v>
      </c>
      <c r="AB122" s="12">
        <v>8</v>
      </c>
      <c r="AC122" s="13">
        <f t="shared" si="4"/>
        <v>4915</v>
      </c>
    </row>
    <row r="123" spans="1:29" ht="24.95" hidden="1" customHeight="1" x14ac:dyDescent="0.25">
      <c r="A123" s="19" t="s">
        <v>35</v>
      </c>
      <c r="B123" s="19" t="s">
        <v>36</v>
      </c>
      <c r="C123" s="19" t="s">
        <v>37</v>
      </c>
      <c r="D123" s="24">
        <v>-4.1047820000000002</v>
      </c>
      <c r="E123" s="24">
        <v>-38.789633000000002</v>
      </c>
      <c r="F123" s="20">
        <v>46183</v>
      </c>
      <c r="G123" s="20">
        <f t="shared" si="5"/>
        <v>46185</v>
      </c>
      <c r="H123" s="12">
        <v>447</v>
      </c>
      <c r="I123" s="12">
        <v>621</v>
      </c>
      <c r="J123" s="12">
        <v>27</v>
      </c>
      <c r="K123" s="12">
        <v>145</v>
      </c>
      <c r="L123" s="12">
        <v>17</v>
      </c>
      <c r="M123" s="12">
        <v>1</v>
      </c>
      <c r="N123" s="12">
        <v>0</v>
      </c>
      <c r="O123" s="12">
        <v>0</v>
      </c>
      <c r="P123" s="12">
        <v>0</v>
      </c>
      <c r="Q123" s="12">
        <v>1</v>
      </c>
      <c r="R123" s="12">
        <v>0</v>
      </c>
      <c r="S123" s="12">
        <v>0</v>
      </c>
      <c r="T123" s="12">
        <v>7</v>
      </c>
      <c r="U123" s="12">
        <v>0</v>
      </c>
      <c r="V123" s="12">
        <v>0</v>
      </c>
      <c r="W123" s="12">
        <v>0</v>
      </c>
      <c r="X123" s="12">
        <v>0</v>
      </c>
      <c r="Y123" s="12">
        <v>0</v>
      </c>
      <c r="Z123" s="12">
        <v>0</v>
      </c>
      <c r="AA123" s="12">
        <v>0</v>
      </c>
      <c r="AB123" s="12">
        <v>0</v>
      </c>
      <c r="AC123" s="13">
        <f t="shared" si="4"/>
        <v>1266</v>
      </c>
    </row>
    <row r="124" spans="1:29" ht="24.95" hidden="1" customHeight="1" x14ac:dyDescent="0.25">
      <c r="A124" s="19" t="s">
        <v>41</v>
      </c>
      <c r="B124" s="19" t="s">
        <v>42</v>
      </c>
      <c r="C124" s="19" t="s">
        <v>43</v>
      </c>
      <c r="D124" s="24">
        <v>-4.0690010000000001</v>
      </c>
      <c r="E124" s="24">
        <v>-38.810313000000001</v>
      </c>
      <c r="F124" s="20">
        <v>46183</v>
      </c>
      <c r="G124" s="20">
        <f t="shared" si="5"/>
        <v>46185</v>
      </c>
      <c r="H124" s="12">
        <v>65</v>
      </c>
      <c r="I124" s="12">
        <v>182</v>
      </c>
      <c r="J124" s="12">
        <v>26</v>
      </c>
      <c r="K124" s="12">
        <v>82</v>
      </c>
      <c r="L124" s="12">
        <v>13</v>
      </c>
      <c r="M124" s="12">
        <v>2</v>
      </c>
      <c r="N124" s="12">
        <v>1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12">
        <v>0</v>
      </c>
      <c r="U124" s="12">
        <v>0</v>
      </c>
      <c r="V124" s="12">
        <v>0</v>
      </c>
      <c r="W124" s="12">
        <v>0</v>
      </c>
      <c r="X124" s="12">
        <v>0</v>
      </c>
      <c r="Y124" s="12">
        <v>0</v>
      </c>
      <c r="Z124" s="12">
        <v>0</v>
      </c>
      <c r="AA124" s="12">
        <v>0</v>
      </c>
      <c r="AB124" s="12">
        <v>0</v>
      </c>
      <c r="AC124" s="13">
        <f t="shared" si="4"/>
        <v>371</v>
      </c>
    </row>
    <row r="125" spans="1:29" ht="24.95" hidden="1" customHeight="1" x14ac:dyDescent="0.25">
      <c r="A125" s="19" t="s">
        <v>63</v>
      </c>
      <c r="B125" s="19" t="s">
        <v>64</v>
      </c>
      <c r="C125" s="19" t="s">
        <v>65</v>
      </c>
      <c r="D125" s="24">
        <v>-4.1096320000000004</v>
      </c>
      <c r="E125" s="24">
        <v>-38.748489999999997</v>
      </c>
      <c r="F125" s="20">
        <v>46183</v>
      </c>
      <c r="G125" s="20">
        <f t="shared" si="5"/>
        <v>46185</v>
      </c>
      <c r="H125" s="12">
        <v>804</v>
      </c>
      <c r="I125" s="12">
        <v>1036</v>
      </c>
      <c r="J125" s="12">
        <v>0</v>
      </c>
      <c r="K125" s="12">
        <v>10</v>
      </c>
      <c r="L125" s="12">
        <v>4</v>
      </c>
      <c r="M125" s="12">
        <v>0</v>
      </c>
      <c r="N125" s="12">
        <v>1</v>
      </c>
      <c r="O125" s="12">
        <v>0</v>
      </c>
      <c r="P125" s="12">
        <v>0</v>
      </c>
      <c r="Q125" s="12">
        <v>0</v>
      </c>
      <c r="R125" s="12">
        <v>0</v>
      </c>
      <c r="S125" s="12">
        <v>0</v>
      </c>
      <c r="T125" s="12">
        <v>2</v>
      </c>
      <c r="U125" s="12">
        <v>0</v>
      </c>
      <c r="V125" s="12">
        <v>0</v>
      </c>
      <c r="W125" s="12">
        <v>0</v>
      </c>
      <c r="X125" s="12">
        <v>0</v>
      </c>
      <c r="Y125" s="12">
        <v>0</v>
      </c>
      <c r="Z125" s="12">
        <v>0</v>
      </c>
      <c r="AA125" s="12">
        <v>0</v>
      </c>
      <c r="AB125" s="12">
        <v>0</v>
      </c>
      <c r="AC125" s="13">
        <f t="shared" si="4"/>
        <v>1857</v>
      </c>
    </row>
    <row r="126" spans="1:29" ht="24.95" hidden="1" customHeight="1" x14ac:dyDescent="0.25">
      <c r="A126" s="19" t="s">
        <v>69</v>
      </c>
      <c r="B126" s="19" t="s">
        <v>70</v>
      </c>
      <c r="C126" s="19" t="s">
        <v>71</v>
      </c>
      <c r="D126" s="21"/>
      <c r="E126" s="21"/>
      <c r="F126" s="20"/>
      <c r="G126" s="20">
        <f t="shared" si="5"/>
        <v>2</v>
      </c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3">
        <f t="shared" si="4"/>
        <v>0</v>
      </c>
    </row>
    <row r="127" spans="1:29" ht="24.95" hidden="1" customHeight="1" x14ac:dyDescent="0.25">
      <c r="A127" s="19" t="s">
        <v>213</v>
      </c>
      <c r="B127" s="19" t="s">
        <v>208</v>
      </c>
      <c r="C127" s="19" t="s">
        <v>214</v>
      </c>
      <c r="D127" s="24">
        <v>-3.763614</v>
      </c>
      <c r="E127" s="24">
        <v>-40.979315</v>
      </c>
      <c r="F127" s="20">
        <v>46191</v>
      </c>
      <c r="G127" s="20">
        <f t="shared" si="5"/>
        <v>46193</v>
      </c>
      <c r="H127" s="12">
        <v>2378</v>
      </c>
      <c r="I127" s="12">
        <v>6249</v>
      </c>
      <c r="J127" s="12">
        <v>72</v>
      </c>
      <c r="K127" s="12">
        <v>966</v>
      </c>
      <c r="L127" s="12">
        <v>204</v>
      </c>
      <c r="M127" s="12">
        <v>28</v>
      </c>
      <c r="N127" s="12">
        <v>127</v>
      </c>
      <c r="O127" s="12">
        <v>13</v>
      </c>
      <c r="P127" s="12">
        <v>5</v>
      </c>
      <c r="Q127" s="12">
        <v>20</v>
      </c>
      <c r="R127" s="12">
        <v>13</v>
      </c>
      <c r="S127" s="12">
        <v>10</v>
      </c>
      <c r="T127" s="12">
        <v>113</v>
      </c>
      <c r="U127" s="12">
        <v>5</v>
      </c>
      <c r="V127" s="12">
        <v>3</v>
      </c>
      <c r="W127" s="12">
        <v>10</v>
      </c>
      <c r="X127" s="12">
        <v>0</v>
      </c>
      <c r="Y127" s="12">
        <v>4</v>
      </c>
      <c r="Z127" s="12">
        <v>7</v>
      </c>
      <c r="AA127" s="12">
        <v>10</v>
      </c>
      <c r="AB127" s="12">
        <v>5</v>
      </c>
      <c r="AC127" s="13">
        <f t="shared" si="4"/>
        <v>10242</v>
      </c>
    </row>
    <row r="128" spans="1:29" ht="24.95" hidden="1" customHeight="1" x14ac:dyDescent="0.25">
      <c r="A128" s="19" t="s">
        <v>265</v>
      </c>
      <c r="B128" s="19" t="s">
        <v>266</v>
      </c>
      <c r="C128" s="19" t="s">
        <v>267</v>
      </c>
      <c r="D128" s="21">
        <v>-3.8713510000000002</v>
      </c>
      <c r="E128" s="21">
        <v>-39.534920999999997</v>
      </c>
      <c r="F128" s="20">
        <v>46202</v>
      </c>
      <c r="G128" s="20">
        <v>46204</v>
      </c>
      <c r="H128" s="12">
        <v>536</v>
      </c>
      <c r="I128" s="12">
        <v>607</v>
      </c>
      <c r="J128" s="12">
        <v>24</v>
      </c>
      <c r="K128" s="12">
        <v>104</v>
      </c>
      <c r="L128" s="12">
        <v>31</v>
      </c>
      <c r="M128" s="12">
        <v>6</v>
      </c>
      <c r="N128" s="12">
        <v>1</v>
      </c>
      <c r="O128" s="12">
        <v>1</v>
      </c>
      <c r="P128" s="12">
        <v>0</v>
      </c>
      <c r="Q128" s="12">
        <v>1</v>
      </c>
      <c r="R128" s="12">
        <v>0</v>
      </c>
      <c r="S128" s="12">
        <v>0</v>
      </c>
      <c r="T128" s="12">
        <v>17</v>
      </c>
      <c r="U128" s="12">
        <v>0</v>
      </c>
      <c r="V128" s="12">
        <v>0</v>
      </c>
      <c r="W128" s="12">
        <v>0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3">
        <f t="shared" si="4"/>
        <v>1328</v>
      </c>
    </row>
    <row r="129" spans="1:29" ht="24.95" hidden="1" customHeight="1" x14ac:dyDescent="0.25">
      <c r="A129" s="19" t="s">
        <v>271</v>
      </c>
      <c r="B129" s="19" t="s">
        <v>272</v>
      </c>
      <c r="C129" s="19" t="s">
        <v>273</v>
      </c>
      <c r="D129" s="21">
        <v>-4.0275179999999997</v>
      </c>
      <c r="E129" s="21">
        <v>-39.452258999999998</v>
      </c>
      <c r="F129" s="20">
        <v>46202</v>
      </c>
      <c r="G129" s="20">
        <v>46204</v>
      </c>
      <c r="H129" s="12">
        <v>398</v>
      </c>
      <c r="I129" s="12">
        <v>578</v>
      </c>
      <c r="J129" s="12">
        <v>32</v>
      </c>
      <c r="K129" s="12">
        <v>115</v>
      </c>
      <c r="L129" s="12">
        <v>16</v>
      </c>
      <c r="M129" s="12">
        <v>4</v>
      </c>
      <c r="N129" s="12">
        <v>0</v>
      </c>
      <c r="O129" s="12">
        <v>1</v>
      </c>
      <c r="P129" s="12">
        <v>0</v>
      </c>
      <c r="Q129" s="12">
        <v>0</v>
      </c>
      <c r="R129" s="12">
        <v>1</v>
      </c>
      <c r="S129" s="12">
        <v>2</v>
      </c>
      <c r="T129" s="12">
        <v>9</v>
      </c>
      <c r="U129" s="12">
        <v>0</v>
      </c>
      <c r="V129" s="12">
        <v>0</v>
      </c>
      <c r="W129" s="12">
        <v>0</v>
      </c>
      <c r="X129" s="12">
        <v>0</v>
      </c>
      <c r="Y129" s="12">
        <v>0</v>
      </c>
      <c r="Z129" s="12">
        <v>1</v>
      </c>
      <c r="AA129" s="12">
        <v>0</v>
      </c>
      <c r="AB129" s="12">
        <v>0</v>
      </c>
      <c r="AC129" s="13">
        <f t="shared" si="4"/>
        <v>1157</v>
      </c>
    </row>
    <row r="130" spans="1:29" ht="24.95" hidden="1" customHeight="1" x14ac:dyDescent="0.25">
      <c r="A130" s="19" t="s">
        <v>277</v>
      </c>
      <c r="B130" s="19" t="s">
        <v>36</v>
      </c>
      <c r="C130" s="19" t="s">
        <v>278</v>
      </c>
      <c r="D130" s="21">
        <v>-4.1980709999999997</v>
      </c>
      <c r="E130" s="21">
        <v>-38.904389999999999</v>
      </c>
      <c r="F130" s="20">
        <v>46104</v>
      </c>
      <c r="G130" s="20">
        <f t="shared" si="5"/>
        <v>46106</v>
      </c>
      <c r="H130" s="12">
        <v>622</v>
      </c>
      <c r="I130" s="12">
        <v>410</v>
      </c>
      <c r="J130" s="12">
        <v>9</v>
      </c>
      <c r="K130" s="12">
        <v>73</v>
      </c>
      <c r="L130" s="12">
        <v>2</v>
      </c>
      <c r="M130" s="12">
        <v>0</v>
      </c>
      <c r="N130" s="12">
        <v>8</v>
      </c>
      <c r="O130" s="12">
        <v>0</v>
      </c>
      <c r="P130" s="12">
        <v>1</v>
      </c>
      <c r="Q130" s="12">
        <v>0</v>
      </c>
      <c r="R130" s="12">
        <v>0</v>
      </c>
      <c r="S130" s="12">
        <v>0</v>
      </c>
      <c r="T130" s="12">
        <v>20</v>
      </c>
      <c r="U130" s="12">
        <v>0</v>
      </c>
      <c r="V130" s="12">
        <v>0</v>
      </c>
      <c r="W130" s="12">
        <v>0</v>
      </c>
      <c r="X130" s="12">
        <v>0</v>
      </c>
      <c r="Y130" s="12">
        <v>0</v>
      </c>
      <c r="Z130" s="12">
        <v>0</v>
      </c>
      <c r="AA130" s="12">
        <v>0</v>
      </c>
      <c r="AB130" s="12">
        <v>0</v>
      </c>
      <c r="AC130" s="13">
        <f t="shared" si="4"/>
        <v>1145</v>
      </c>
    </row>
    <row r="131" spans="1:29" ht="24.95" hidden="1" customHeight="1" x14ac:dyDescent="0.25">
      <c r="A131" s="19" t="s">
        <v>282</v>
      </c>
      <c r="B131" s="19" t="s">
        <v>36</v>
      </c>
      <c r="C131" s="19" t="s">
        <v>283</v>
      </c>
      <c r="D131" s="21">
        <v>-4.2305849999999996</v>
      </c>
      <c r="E131" s="21">
        <v>-38.930357000000001</v>
      </c>
      <c r="F131" s="20">
        <v>46104</v>
      </c>
      <c r="G131" s="20">
        <f t="shared" si="5"/>
        <v>46106</v>
      </c>
      <c r="H131" s="12">
        <v>1111</v>
      </c>
      <c r="I131" s="12">
        <v>721</v>
      </c>
      <c r="J131" s="12">
        <v>14</v>
      </c>
      <c r="K131" s="12">
        <v>75</v>
      </c>
      <c r="L131" s="12">
        <v>5</v>
      </c>
      <c r="M131" s="12">
        <v>2</v>
      </c>
      <c r="N131" s="12">
        <v>22</v>
      </c>
      <c r="O131" s="12">
        <v>0</v>
      </c>
      <c r="P131" s="12">
        <v>0</v>
      </c>
      <c r="Q131" s="12">
        <v>0</v>
      </c>
      <c r="R131" s="12">
        <v>0</v>
      </c>
      <c r="S131" s="12">
        <v>1</v>
      </c>
      <c r="T131" s="12">
        <v>33</v>
      </c>
      <c r="U131" s="12">
        <v>0</v>
      </c>
      <c r="V131" s="12">
        <v>0</v>
      </c>
      <c r="W131" s="12">
        <v>0</v>
      </c>
      <c r="X131" s="12">
        <v>0</v>
      </c>
      <c r="Y131" s="12">
        <v>0</v>
      </c>
      <c r="Z131" s="12">
        <v>0</v>
      </c>
      <c r="AA131" s="12">
        <v>0</v>
      </c>
      <c r="AB131" s="12">
        <v>0</v>
      </c>
      <c r="AC131" s="13">
        <f t="shared" si="4"/>
        <v>1984</v>
      </c>
    </row>
    <row r="132" spans="1:29" ht="24.95" hidden="1" customHeight="1" x14ac:dyDescent="0.25">
      <c r="A132" s="19" t="s">
        <v>81</v>
      </c>
      <c r="B132" s="19" t="s">
        <v>36</v>
      </c>
      <c r="C132" s="19" t="s">
        <v>82</v>
      </c>
      <c r="D132" s="21">
        <v>-4.4056509999999998</v>
      </c>
      <c r="E132" s="21">
        <v>-39.049227999999999</v>
      </c>
      <c r="F132" s="20">
        <v>46107</v>
      </c>
      <c r="G132" s="20">
        <f t="shared" si="5"/>
        <v>46109</v>
      </c>
      <c r="H132" s="12">
        <v>1644</v>
      </c>
      <c r="I132" s="12">
        <v>765</v>
      </c>
      <c r="J132" s="12">
        <v>19</v>
      </c>
      <c r="K132" s="12">
        <v>108</v>
      </c>
      <c r="L132" s="12">
        <v>9</v>
      </c>
      <c r="M132" s="12">
        <v>2</v>
      </c>
      <c r="N132" s="12">
        <v>12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12">
        <v>38</v>
      </c>
      <c r="U132" s="12">
        <v>0</v>
      </c>
      <c r="V132" s="12">
        <v>0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3">
        <f t="shared" si="4"/>
        <v>2597</v>
      </c>
    </row>
    <row r="133" spans="1:29" ht="24.95" hidden="1" customHeight="1" x14ac:dyDescent="0.25">
      <c r="A133" s="19" t="s">
        <v>86</v>
      </c>
      <c r="B133" s="19" t="s">
        <v>87</v>
      </c>
      <c r="C133" s="19" t="s">
        <v>88</v>
      </c>
      <c r="D133" s="21">
        <v>-4.4364990000000004</v>
      </c>
      <c r="E133" s="21">
        <v>-39.025733000000002</v>
      </c>
      <c r="F133" s="20">
        <v>46107</v>
      </c>
      <c r="G133" s="20">
        <f t="shared" si="5"/>
        <v>46109</v>
      </c>
      <c r="H133" s="12">
        <v>787</v>
      </c>
      <c r="I133" s="12">
        <v>723</v>
      </c>
      <c r="J133" s="12">
        <v>21</v>
      </c>
      <c r="K133" s="12">
        <v>121</v>
      </c>
      <c r="L133" s="12">
        <v>7</v>
      </c>
      <c r="M133" s="12">
        <v>3</v>
      </c>
      <c r="N133" s="12">
        <v>23</v>
      </c>
      <c r="O133" s="12">
        <v>0</v>
      </c>
      <c r="P133" s="12">
        <v>0</v>
      </c>
      <c r="Q133" s="12">
        <v>0</v>
      </c>
      <c r="R133" s="12">
        <v>0</v>
      </c>
      <c r="S133" s="12">
        <v>1</v>
      </c>
      <c r="T133" s="12">
        <v>46</v>
      </c>
      <c r="U133" s="12">
        <v>0</v>
      </c>
      <c r="V133" s="12">
        <v>0</v>
      </c>
      <c r="W133" s="12">
        <v>0</v>
      </c>
      <c r="X133" s="12">
        <v>0</v>
      </c>
      <c r="Y133" s="12">
        <v>0</v>
      </c>
      <c r="Z133" s="12">
        <v>0</v>
      </c>
      <c r="AA133" s="12">
        <v>1</v>
      </c>
      <c r="AB133" s="12">
        <v>0</v>
      </c>
      <c r="AC133" s="13">
        <f t="shared" si="4"/>
        <v>1733</v>
      </c>
    </row>
    <row r="134" spans="1:29" ht="24.95" hidden="1" customHeight="1" x14ac:dyDescent="0.25">
      <c r="A134" s="19" t="s">
        <v>92</v>
      </c>
      <c r="B134" s="19" t="s">
        <v>87</v>
      </c>
      <c r="C134" s="19" t="s">
        <v>93</v>
      </c>
      <c r="D134" s="21">
        <v>-4.4102269999999999</v>
      </c>
      <c r="E134" s="21">
        <v>-39.059131999999998</v>
      </c>
      <c r="F134" s="20">
        <v>46107</v>
      </c>
      <c r="G134" s="20">
        <f t="shared" ref="G134:G153" si="6">F134+2</f>
        <v>46109</v>
      </c>
      <c r="H134" s="12">
        <v>1129</v>
      </c>
      <c r="I134" s="12">
        <v>465</v>
      </c>
      <c r="J134" s="12">
        <v>20</v>
      </c>
      <c r="K134" s="12">
        <v>60</v>
      </c>
      <c r="L134" s="12">
        <v>6</v>
      </c>
      <c r="M134" s="12">
        <v>2</v>
      </c>
      <c r="N134" s="12">
        <v>13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12">
        <v>29</v>
      </c>
      <c r="U134" s="12">
        <v>0</v>
      </c>
      <c r="V134" s="12">
        <v>0</v>
      </c>
      <c r="W134" s="12">
        <v>0</v>
      </c>
      <c r="X134" s="12">
        <v>0</v>
      </c>
      <c r="Y134" s="12">
        <v>0</v>
      </c>
      <c r="Z134" s="12">
        <v>0</v>
      </c>
      <c r="AA134" s="12">
        <v>0</v>
      </c>
      <c r="AB134" s="12">
        <v>0</v>
      </c>
      <c r="AC134" s="13">
        <f t="shared" ref="AC134:AC153" si="7">SUM(H134:AB134)</f>
        <v>1724</v>
      </c>
    </row>
    <row r="135" spans="1:29" ht="24.95" hidden="1" customHeight="1" x14ac:dyDescent="0.25">
      <c r="A135" s="19" t="s">
        <v>287</v>
      </c>
      <c r="B135" s="19" t="s">
        <v>288</v>
      </c>
      <c r="C135" s="19" t="s">
        <v>289</v>
      </c>
      <c r="D135" s="24">
        <v>-3.9746090000000001</v>
      </c>
      <c r="E135" s="24">
        <v>-38.710085999999997</v>
      </c>
      <c r="F135" s="20">
        <v>46183</v>
      </c>
      <c r="G135" s="20">
        <f t="shared" si="6"/>
        <v>46185</v>
      </c>
      <c r="H135" s="12">
        <v>1793</v>
      </c>
      <c r="I135" s="12">
        <v>2962</v>
      </c>
      <c r="J135" s="12">
        <v>78</v>
      </c>
      <c r="K135" s="12">
        <v>372</v>
      </c>
      <c r="L135" s="12">
        <v>65</v>
      </c>
      <c r="M135" s="12">
        <v>12</v>
      </c>
      <c r="N135" s="12">
        <v>44</v>
      </c>
      <c r="O135" s="12">
        <v>1</v>
      </c>
      <c r="P135" s="12">
        <v>0</v>
      </c>
      <c r="Q135" s="12">
        <v>3</v>
      </c>
      <c r="R135" s="12">
        <v>4</v>
      </c>
      <c r="S135" s="12">
        <v>5</v>
      </c>
      <c r="T135" s="12">
        <v>66</v>
      </c>
      <c r="U135" s="12">
        <v>1</v>
      </c>
      <c r="V135" s="12">
        <v>0</v>
      </c>
      <c r="W135" s="12">
        <v>0</v>
      </c>
      <c r="X135" s="12">
        <v>0</v>
      </c>
      <c r="Y135" s="12">
        <v>1</v>
      </c>
      <c r="Z135" s="12">
        <v>0</v>
      </c>
      <c r="AA135" s="12">
        <v>1</v>
      </c>
      <c r="AB135" s="12">
        <v>0</v>
      </c>
      <c r="AC135" s="13">
        <f t="shared" si="7"/>
        <v>5408</v>
      </c>
    </row>
    <row r="136" spans="1:29" ht="24.95" hidden="1" customHeight="1" x14ac:dyDescent="0.25">
      <c r="A136" s="19" t="s">
        <v>292</v>
      </c>
      <c r="B136" s="19" t="s">
        <v>293</v>
      </c>
      <c r="C136" s="19" t="s">
        <v>294</v>
      </c>
      <c r="D136" s="21">
        <v>-3.2161379999999999</v>
      </c>
      <c r="E136" s="21">
        <v>-40.866370000000003</v>
      </c>
      <c r="F136" s="20">
        <v>46188</v>
      </c>
      <c r="G136" s="20">
        <f t="shared" si="6"/>
        <v>46190</v>
      </c>
      <c r="H136" s="12">
        <v>289</v>
      </c>
      <c r="I136" s="12">
        <v>644</v>
      </c>
      <c r="J136" s="12">
        <v>51</v>
      </c>
      <c r="K136" s="12">
        <v>162</v>
      </c>
      <c r="L136" s="12">
        <v>40</v>
      </c>
      <c r="M136" s="12">
        <v>10</v>
      </c>
      <c r="N136" s="12">
        <v>1</v>
      </c>
      <c r="O136" s="12">
        <v>0</v>
      </c>
      <c r="P136" s="12">
        <v>0</v>
      </c>
      <c r="Q136" s="12">
        <v>2</v>
      </c>
      <c r="R136" s="12">
        <v>1</v>
      </c>
      <c r="S136" s="12">
        <v>0</v>
      </c>
      <c r="T136" s="12">
        <v>9</v>
      </c>
      <c r="U136" s="12">
        <v>1</v>
      </c>
      <c r="V136" s="12">
        <v>0</v>
      </c>
      <c r="W136" s="12">
        <v>0</v>
      </c>
      <c r="X136" s="12">
        <v>0</v>
      </c>
      <c r="Y136" s="12">
        <v>0</v>
      </c>
      <c r="Z136" s="12">
        <v>1</v>
      </c>
      <c r="AA136" s="12">
        <v>0</v>
      </c>
      <c r="AB136" s="12">
        <v>1</v>
      </c>
      <c r="AC136" s="13">
        <f t="shared" si="7"/>
        <v>1212</v>
      </c>
    </row>
    <row r="137" spans="1:29" ht="24.95" hidden="1" customHeight="1" x14ac:dyDescent="0.25">
      <c r="A137" s="19" t="s">
        <v>47</v>
      </c>
      <c r="B137" s="19" t="s">
        <v>48</v>
      </c>
      <c r="C137" s="19" t="s">
        <v>49</v>
      </c>
      <c r="D137" s="21">
        <v>-3.564063</v>
      </c>
      <c r="E137" s="21">
        <v>-39.971214000000003</v>
      </c>
      <c r="F137" s="20">
        <v>46208</v>
      </c>
      <c r="G137" s="20">
        <f t="shared" si="6"/>
        <v>46210</v>
      </c>
      <c r="H137" s="12">
        <v>422</v>
      </c>
      <c r="I137" s="12">
        <v>2908</v>
      </c>
      <c r="J137" s="12">
        <v>30</v>
      </c>
      <c r="K137" s="12">
        <v>133</v>
      </c>
      <c r="L137" s="12">
        <v>35</v>
      </c>
      <c r="M137" s="12">
        <v>12</v>
      </c>
      <c r="N137" s="12">
        <v>4</v>
      </c>
      <c r="O137" s="12">
        <v>4</v>
      </c>
      <c r="P137" s="12">
        <v>2</v>
      </c>
      <c r="Q137" s="12">
        <v>3</v>
      </c>
      <c r="R137" s="12">
        <v>0</v>
      </c>
      <c r="S137" s="12">
        <v>2</v>
      </c>
      <c r="T137" s="12">
        <v>29</v>
      </c>
      <c r="U137" s="12">
        <v>1</v>
      </c>
      <c r="V137" s="12">
        <v>0</v>
      </c>
      <c r="W137" s="12">
        <v>1</v>
      </c>
      <c r="X137" s="12">
        <v>0</v>
      </c>
      <c r="Y137" s="12">
        <v>0</v>
      </c>
      <c r="Z137" s="12">
        <v>0</v>
      </c>
      <c r="AA137" s="12">
        <v>0</v>
      </c>
      <c r="AB137" s="12">
        <v>1</v>
      </c>
      <c r="AC137" s="13">
        <f t="shared" si="7"/>
        <v>3587</v>
      </c>
    </row>
    <row r="138" spans="1:29" ht="24.95" hidden="1" customHeight="1" x14ac:dyDescent="0.25">
      <c r="A138" s="19" t="s">
        <v>53</v>
      </c>
      <c r="B138" s="19" t="s">
        <v>48</v>
      </c>
      <c r="C138" s="19" t="s">
        <v>54</v>
      </c>
      <c r="D138" s="21">
        <v>-3.56412</v>
      </c>
      <c r="E138" s="21">
        <v>-39.969997999999997</v>
      </c>
      <c r="F138" s="20">
        <v>46208</v>
      </c>
      <c r="G138" s="20">
        <f t="shared" si="6"/>
        <v>46210</v>
      </c>
      <c r="H138" s="12">
        <v>594</v>
      </c>
      <c r="I138" s="12">
        <v>2171</v>
      </c>
      <c r="J138" s="12">
        <v>40</v>
      </c>
      <c r="K138" s="12">
        <v>167</v>
      </c>
      <c r="L138" s="12">
        <v>61</v>
      </c>
      <c r="M138" s="12">
        <v>22</v>
      </c>
      <c r="N138" s="12">
        <v>11</v>
      </c>
      <c r="O138" s="12">
        <v>6</v>
      </c>
      <c r="P138" s="12">
        <v>3</v>
      </c>
      <c r="Q138" s="12">
        <v>5</v>
      </c>
      <c r="R138" s="12">
        <v>9</v>
      </c>
      <c r="S138" s="12">
        <v>1</v>
      </c>
      <c r="T138" s="12">
        <v>41</v>
      </c>
      <c r="U138" s="12">
        <v>0</v>
      </c>
      <c r="V138" s="12">
        <v>0</v>
      </c>
      <c r="W138" s="12">
        <v>4</v>
      </c>
      <c r="X138" s="12">
        <v>0</v>
      </c>
      <c r="Y138" s="12">
        <v>0</v>
      </c>
      <c r="Z138" s="12">
        <v>2</v>
      </c>
      <c r="AA138" s="12">
        <v>2</v>
      </c>
      <c r="AB138" s="12">
        <v>2</v>
      </c>
      <c r="AC138" s="13">
        <f t="shared" si="7"/>
        <v>3141</v>
      </c>
    </row>
    <row r="139" spans="1:29" ht="24.95" hidden="1" customHeight="1" x14ac:dyDescent="0.25">
      <c r="A139" s="19" t="s">
        <v>57</v>
      </c>
      <c r="B139" s="19" t="s">
        <v>58</v>
      </c>
      <c r="C139" s="19" t="s">
        <v>59</v>
      </c>
      <c r="D139" s="24">
        <v>-2.9383110000000001</v>
      </c>
      <c r="E139" s="24">
        <v>-40.181694</v>
      </c>
      <c r="F139" s="20">
        <v>46156</v>
      </c>
      <c r="G139" s="20">
        <f t="shared" si="6"/>
        <v>46158</v>
      </c>
      <c r="H139" s="12">
        <v>2769</v>
      </c>
      <c r="I139" s="12">
        <v>1973</v>
      </c>
      <c r="J139" s="12">
        <v>23</v>
      </c>
      <c r="K139" s="12">
        <v>231</v>
      </c>
      <c r="L139" s="12">
        <v>119</v>
      </c>
      <c r="M139" s="12">
        <v>24</v>
      </c>
      <c r="N139" s="12">
        <v>18</v>
      </c>
      <c r="O139" s="12">
        <v>2</v>
      </c>
      <c r="P139" s="12">
        <v>0</v>
      </c>
      <c r="Q139" s="12">
        <v>8</v>
      </c>
      <c r="R139" s="12">
        <v>0</v>
      </c>
      <c r="S139" s="12">
        <v>4</v>
      </c>
      <c r="T139" s="12">
        <v>84</v>
      </c>
      <c r="U139" s="12">
        <v>0</v>
      </c>
      <c r="V139" s="12">
        <v>2</v>
      </c>
      <c r="W139" s="12">
        <v>0</v>
      </c>
      <c r="X139" s="12">
        <v>0</v>
      </c>
      <c r="Y139" s="12">
        <v>0</v>
      </c>
      <c r="Z139" s="12">
        <v>0</v>
      </c>
      <c r="AA139" s="12">
        <v>5</v>
      </c>
      <c r="AB139" s="12">
        <v>1</v>
      </c>
      <c r="AC139" s="13">
        <f t="shared" si="7"/>
        <v>5263</v>
      </c>
    </row>
    <row r="140" spans="1:29" ht="24.95" hidden="1" customHeight="1" x14ac:dyDescent="0.25">
      <c r="A140" s="19" t="s">
        <v>75</v>
      </c>
      <c r="B140" s="19" t="s">
        <v>76</v>
      </c>
      <c r="C140" s="19" t="s">
        <v>77</v>
      </c>
      <c r="D140" s="21">
        <v>-4.8604089999999998</v>
      </c>
      <c r="E140" s="21">
        <v>-39.051761999999997</v>
      </c>
      <c r="F140" s="20">
        <v>46111</v>
      </c>
      <c r="G140" s="20">
        <f t="shared" si="6"/>
        <v>46113</v>
      </c>
      <c r="H140" s="12">
        <v>439</v>
      </c>
      <c r="I140" s="12">
        <v>1018</v>
      </c>
      <c r="J140" s="12">
        <v>50</v>
      </c>
      <c r="K140" s="12">
        <v>249</v>
      </c>
      <c r="L140" s="12">
        <v>44</v>
      </c>
      <c r="M140" s="12">
        <v>9</v>
      </c>
      <c r="N140" s="12">
        <v>7</v>
      </c>
      <c r="O140" s="12">
        <v>0</v>
      </c>
      <c r="P140" s="12">
        <v>2</v>
      </c>
      <c r="Q140" s="12">
        <v>3</v>
      </c>
      <c r="R140" s="12">
        <v>0</v>
      </c>
      <c r="S140" s="12">
        <v>1</v>
      </c>
      <c r="T140" s="12">
        <v>15</v>
      </c>
      <c r="U140" s="12">
        <v>0</v>
      </c>
      <c r="V140" s="12">
        <v>0</v>
      </c>
      <c r="W140" s="12">
        <v>1</v>
      </c>
      <c r="X140" s="12">
        <v>0</v>
      </c>
      <c r="Y140" s="12">
        <v>0</v>
      </c>
      <c r="Z140" s="12">
        <v>0</v>
      </c>
      <c r="AA140" s="12">
        <v>0</v>
      </c>
      <c r="AB140" s="12">
        <v>1</v>
      </c>
      <c r="AC140" s="13">
        <f t="shared" si="7"/>
        <v>1839</v>
      </c>
    </row>
    <row r="141" spans="1:29" ht="24.95" hidden="1" customHeight="1" x14ac:dyDescent="0.25">
      <c r="A141" s="19" t="s">
        <v>207</v>
      </c>
      <c r="B141" s="19" t="s">
        <v>208</v>
      </c>
      <c r="C141" s="19" t="s">
        <v>209</v>
      </c>
      <c r="D141" s="21">
        <v>-4.9313539999999998</v>
      </c>
      <c r="E141" s="21">
        <v>-40.527043999999997</v>
      </c>
      <c r="F141" s="20">
        <v>46128</v>
      </c>
      <c r="G141" s="20">
        <f t="shared" si="6"/>
        <v>46130</v>
      </c>
      <c r="H141" s="12">
        <v>740</v>
      </c>
      <c r="I141" s="12">
        <v>1769</v>
      </c>
      <c r="J141" s="12">
        <v>25</v>
      </c>
      <c r="K141" s="12">
        <v>225</v>
      </c>
      <c r="L141" s="12">
        <v>38</v>
      </c>
      <c r="M141" s="12">
        <v>10</v>
      </c>
      <c r="N141" s="12">
        <v>5</v>
      </c>
      <c r="O141" s="12">
        <v>0</v>
      </c>
      <c r="P141" s="12">
        <v>0</v>
      </c>
      <c r="Q141" s="12">
        <v>0</v>
      </c>
      <c r="R141" s="12">
        <v>3</v>
      </c>
      <c r="S141" s="12">
        <v>0</v>
      </c>
      <c r="T141" s="12">
        <v>23</v>
      </c>
      <c r="U141" s="12">
        <v>1</v>
      </c>
      <c r="V141" s="12">
        <v>0</v>
      </c>
      <c r="W141" s="12">
        <v>0</v>
      </c>
      <c r="X141" s="12">
        <v>0</v>
      </c>
      <c r="Y141" s="12">
        <v>0</v>
      </c>
      <c r="Z141" s="12">
        <v>0</v>
      </c>
      <c r="AA141" s="12">
        <v>1</v>
      </c>
      <c r="AB141" s="12">
        <v>0</v>
      </c>
      <c r="AC141" s="13">
        <f t="shared" si="7"/>
        <v>2840</v>
      </c>
    </row>
    <row r="142" spans="1:29" ht="24.95" hidden="1" customHeight="1" x14ac:dyDescent="0.25">
      <c r="A142" s="19" t="s">
        <v>218</v>
      </c>
      <c r="B142" s="19" t="s">
        <v>87</v>
      </c>
      <c r="C142" s="19" t="s">
        <v>219</v>
      </c>
      <c r="D142" s="21">
        <v>-4.3993669999999998</v>
      </c>
      <c r="E142" s="21">
        <v>-40.711840000000002</v>
      </c>
      <c r="F142" s="20">
        <v>46131</v>
      </c>
      <c r="G142" s="20">
        <f t="shared" si="6"/>
        <v>46133</v>
      </c>
      <c r="H142" s="12">
        <v>476</v>
      </c>
      <c r="I142" s="12">
        <v>685</v>
      </c>
      <c r="J142" s="12">
        <v>16</v>
      </c>
      <c r="K142" s="12">
        <v>142</v>
      </c>
      <c r="L142" s="12">
        <v>90</v>
      </c>
      <c r="M142" s="12">
        <v>11</v>
      </c>
      <c r="N142" s="12">
        <v>2</v>
      </c>
      <c r="O142" s="12">
        <v>2</v>
      </c>
      <c r="P142" s="12">
        <v>0</v>
      </c>
      <c r="Q142" s="12">
        <v>3</v>
      </c>
      <c r="R142" s="12">
        <v>1</v>
      </c>
      <c r="S142" s="12">
        <v>1</v>
      </c>
      <c r="T142" s="12">
        <v>22</v>
      </c>
      <c r="U142" s="12">
        <v>0</v>
      </c>
      <c r="V142" s="12">
        <v>0</v>
      </c>
      <c r="W142" s="12">
        <v>0</v>
      </c>
      <c r="X142" s="12">
        <v>0</v>
      </c>
      <c r="Y142" s="12">
        <v>0</v>
      </c>
      <c r="Z142" s="12">
        <v>0</v>
      </c>
      <c r="AA142" s="12">
        <v>0</v>
      </c>
      <c r="AB142" s="12">
        <v>0</v>
      </c>
      <c r="AC142" s="13">
        <f t="shared" si="7"/>
        <v>1451</v>
      </c>
    </row>
    <row r="143" spans="1:29" ht="24.95" hidden="1" customHeight="1" x14ac:dyDescent="0.25">
      <c r="A143" s="19" t="s">
        <v>223</v>
      </c>
      <c r="B143" s="19" t="s">
        <v>148</v>
      </c>
      <c r="C143" s="19" t="s">
        <v>224</v>
      </c>
      <c r="D143" s="21">
        <v>-3.8485079999999998</v>
      </c>
      <c r="E143" s="21">
        <v>-40.654885999999998</v>
      </c>
      <c r="F143" s="20">
        <v>46205</v>
      </c>
      <c r="G143" s="20">
        <f t="shared" si="6"/>
        <v>46207</v>
      </c>
      <c r="H143" s="12">
        <v>161</v>
      </c>
      <c r="I143" s="12">
        <v>194</v>
      </c>
      <c r="J143" s="12">
        <v>2</v>
      </c>
      <c r="K143" s="12">
        <v>42</v>
      </c>
      <c r="L143" s="12">
        <v>17</v>
      </c>
      <c r="M143" s="12">
        <v>0</v>
      </c>
      <c r="N143" s="12">
        <v>0</v>
      </c>
      <c r="O143" s="12">
        <v>0</v>
      </c>
      <c r="P143" s="12">
        <v>0</v>
      </c>
      <c r="Q143" s="12">
        <v>0</v>
      </c>
      <c r="R143" s="12">
        <v>0</v>
      </c>
      <c r="S143" s="12">
        <v>0</v>
      </c>
      <c r="T143" s="12">
        <v>5</v>
      </c>
      <c r="U143" s="12">
        <v>0</v>
      </c>
      <c r="V143" s="12">
        <v>0</v>
      </c>
      <c r="W143" s="12">
        <v>0</v>
      </c>
      <c r="X143" s="12">
        <v>0</v>
      </c>
      <c r="Y143" s="12">
        <v>0</v>
      </c>
      <c r="Z143" s="12">
        <v>0</v>
      </c>
      <c r="AA143" s="12">
        <v>0</v>
      </c>
      <c r="AB143" s="12">
        <v>0</v>
      </c>
      <c r="AC143" s="13">
        <f t="shared" si="7"/>
        <v>421</v>
      </c>
    </row>
    <row r="144" spans="1:29" ht="24.95" hidden="1" customHeight="1" x14ac:dyDescent="0.25">
      <c r="A144" s="19" t="s">
        <v>228</v>
      </c>
      <c r="B144" s="19" t="s">
        <v>229</v>
      </c>
      <c r="C144" s="19" t="s">
        <v>230</v>
      </c>
      <c r="D144" s="21">
        <v>-4.2870549999999996</v>
      </c>
      <c r="E144" s="21">
        <v>-38.933565000000002</v>
      </c>
      <c r="F144" s="20">
        <v>46104</v>
      </c>
      <c r="G144" s="20">
        <f t="shared" si="6"/>
        <v>46106</v>
      </c>
      <c r="H144" s="12">
        <v>1037</v>
      </c>
      <c r="I144" s="12">
        <v>1520</v>
      </c>
      <c r="J144" s="12">
        <v>21</v>
      </c>
      <c r="K144" s="12">
        <v>188</v>
      </c>
      <c r="L144" s="12">
        <v>11</v>
      </c>
      <c r="M144" s="12">
        <v>1</v>
      </c>
      <c r="N144" s="12">
        <v>44</v>
      </c>
      <c r="O144" s="12">
        <v>0</v>
      </c>
      <c r="P144" s="12">
        <v>0</v>
      </c>
      <c r="Q144" s="12">
        <v>0</v>
      </c>
      <c r="R144" s="12">
        <v>1</v>
      </c>
      <c r="S144" s="12">
        <v>2</v>
      </c>
      <c r="T144" s="12">
        <v>29</v>
      </c>
      <c r="U144" s="12">
        <v>0</v>
      </c>
      <c r="V144" s="12">
        <v>0</v>
      </c>
      <c r="W144" s="12">
        <v>0</v>
      </c>
      <c r="X144" s="12">
        <v>0</v>
      </c>
      <c r="Y144" s="12">
        <v>0</v>
      </c>
      <c r="Z144" s="12">
        <v>0</v>
      </c>
      <c r="AA144" s="12">
        <v>0</v>
      </c>
      <c r="AB144" s="12">
        <v>0</v>
      </c>
      <c r="AC144" s="13">
        <f t="shared" si="7"/>
        <v>2854</v>
      </c>
    </row>
    <row r="145" spans="1:29" ht="24.95" hidden="1" customHeight="1" x14ac:dyDescent="0.25">
      <c r="A145" s="19" t="s">
        <v>234</v>
      </c>
      <c r="B145" s="19" t="s">
        <v>235</v>
      </c>
      <c r="C145" s="19" t="s">
        <v>236</v>
      </c>
      <c r="D145" s="21">
        <v>-3.9898509999999998</v>
      </c>
      <c r="E145" s="21">
        <v>-40.075502</v>
      </c>
      <c r="F145" s="20">
        <v>46202</v>
      </c>
      <c r="G145" s="20">
        <v>46204</v>
      </c>
      <c r="H145" s="12">
        <v>190</v>
      </c>
      <c r="I145" s="12">
        <v>673</v>
      </c>
      <c r="J145" s="12">
        <v>47</v>
      </c>
      <c r="K145" s="12">
        <v>102</v>
      </c>
      <c r="L145" s="12">
        <v>15</v>
      </c>
      <c r="M145" s="12">
        <v>2</v>
      </c>
      <c r="N145" s="12">
        <v>4</v>
      </c>
      <c r="O145" s="12">
        <v>0</v>
      </c>
      <c r="P145" s="12">
        <v>0</v>
      </c>
      <c r="Q145" s="12">
        <v>0</v>
      </c>
      <c r="R145" s="12">
        <v>1</v>
      </c>
      <c r="S145" s="12">
        <v>1</v>
      </c>
      <c r="T145" s="12">
        <v>4</v>
      </c>
      <c r="U145" s="12">
        <v>0</v>
      </c>
      <c r="V145" s="12">
        <v>0</v>
      </c>
      <c r="W145" s="12">
        <v>0</v>
      </c>
      <c r="X145" s="12">
        <v>0</v>
      </c>
      <c r="Y145" s="12">
        <v>0</v>
      </c>
      <c r="Z145" s="12">
        <v>0</v>
      </c>
      <c r="AA145" s="12">
        <v>0</v>
      </c>
      <c r="AB145" s="12">
        <v>0</v>
      </c>
      <c r="AC145" s="13">
        <f t="shared" si="7"/>
        <v>1039</v>
      </c>
    </row>
    <row r="146" spans="1:29" ht="24.95" hidden="1" customHeight="1" x14ac:dyDescent="0.25">
      <c r="A146" s="19" t="s">
        <v>240</v>
      </c>
      <c r="B146" s="19" t="s">
        <v>241</v>
      </c>
      <c r="C146" s="19" t="s">
        <v>242</v>
      </c>
      <c r="D146" s="21">
        <v>-3.9891380000000001</v>
      </c>
      <c r="E146" s="21">
        <v>-40.077649999999998</v>
      </c>
      <c r="F146" s="20">
        <v>46202</v>
      </c>
      <c r="G146" s="20">
        <v>46204</v>
      </c>
      <c r="H146" s="12">
        <v>186</v>
      </c>
      <c r="I146" s="12">
        <v>599</v>
      </c>
      <c r="J146" s="12">
        <v>40</v>
      </c>
      <c r="K146" s="12">
        <v>128</v>
      </c>
      <c r="L146" s="12">
        <v>43</v>
      </c>
      <c r="M146" s="12">
        <v>4</v>
      </c>
      <c r="N146" s="12">
        <v>12</v>
      </c>
      <c r="O146" s="12">
        <v>5</v>
      </c>
      <c r="P146" s="12">
        <v>1</v>
      </c>
      <c r="Q146" s="12">
        <v>2</v>
      </c>
      <c r="R146" s="12">
        <v>1</v>
      </c>
      <c r="S146" s="12">
        <v>2</v>
      </c>
      <c r="T146" s="12">
        <v>9</v>
      </c>
      <c r="U146" s="12">
        <v>0</v>
      </c>
      <c r="V146" s="12">
        <v>0</v>
      </c>
      <c r="W146" s="12">
        <v>1</v>
      </c>
      <c r="X146" s="12">
        <v>0</v>
      </c>
      <c r="Y146" s="12">
        <v>0</v>
      </c>
      <c r="Z146" s="12">
        <v>3</v>
      </c>
      <c r="AA146" s="12">
        <v>2</v>
      </c>
      <c r="AB146" s="12">
        <v>0</v>
      </c>
      <c r="AC146" s="13">
        <f t="shared" si="7"/>
        <v>1038</v>
      </c>
    </row>
    <row r="147" spans="1:29" ht="24.95" hidden="1" customHeight="1" x14ac:dyDescent="0.25">
      <c r="A147" s="19" t="s">
        <v>246</v>
      </c>
      <c r="B147" s="19" t="s">
        <v>48</v>
      </c>
      <c r="C147" s="19" t="s">
        <v>247</v>
      </c>
      <c r="D147" s="24" t="s">
        <v>857</v>
      </c>
      <c r="E147" s="24" t="s">
        <v>858</v>
      </c>
      <c r="F147" s="20">
        <v>46153</v>
      </c>
      <c r="G147" s="20">
        <f t="shared" si="6"/>
        <v>46155</v>
      </c>
      <c r="H147" s="12">
        <v>433</v>
      </c>
      <c r="I147" s="12">
        <v>2118</v>
      </c>
      <c r="J147" s="12">
        <v>71</v>
      </c>
      <c r="K147" s="12">
        <v>191</v>
      </c>
      <c r="L147" s="12">
        <v>62</v>
      </c>
      <c r="M147" s="12">
        <v>21</v>
      </c>
      <c r="N147" s="12">
        <v>7</v>
      </c>
      <c r="O147" s="12">
        <v>1</v>
      </c>
      <c r="P147" s="12">
        <v>1</v>
      </c>
      <c r="Q147" s="12">
        <v>7</v>
      </c>
      <c r="R147" s="12">
        <v>7</v>
      </c>
      <c r="S147" s="12">
        <v>2</v>
      </c>
      <c r="T147" s="12">
        <v>8</v>
      </c>
      <c r="U147" s="12">
        <v>0</v>
      </c>
      <c r="V147" s="12">
        <v>0</v>
      </c>
      <c r="W147" s="12">
        <v>1</v>
      </c>
      <c r="X147" s="12">
        <v>0</v>
      </c>
      <c r="Y147" s="12">
        <v>0</v>
      </c>
      <c r="Z147" s="12">
        <v>3</v>
      </c>
      <c r="AA147" s="12">
        <v>0</v>
      </c>
      <c r="AB147" s="12">
        <v>3</v>
      </c>
      <c r="AC147" s="13">
        <f t="shared" si="7"/>
        <v>2936</v>
      </c>
    </row>
    <row r="148" spans="1:29" ht="24.95" hidden="1" customHeight="1" x14ac:dyDescent="0.25">
      <c r="A148" s="19" t="s">
        <v>251</v>
      </c>
      <c r="B148" s="19" t="s">
        <v>191</v>
      </c>
      <c r="C148" s="19" t="s">
        <v>252</v>
      </c>
      <c r="D148" s="21"/>
      <c r="E148" s="21"/>
      <c r="F148" s="20"/>
      <c r="G148" s="20">
        <f t="shared" si="6"/>
        <v>2</v>
      </c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3">
        <f t="shared" si="7"/>
        <v>0</v>
      </c>
    </row>
    <row r="149" spans="1:29" ht="24.95" hidden="1" customHeight="1" x14ac:dyDescent="0.25">
      <c r="A149" s="19" t="s">
        <v>256</v>
      </c>
      <c r="B149" s="19" t="s">
        <v>42</v>
      </c>
      <c r="C149" s="19" t="s">
        <v>257</v>
      </c>
      <c r="D149" s="24">
        <v>-4.1661080000000004</v>
      </c>
      <c r="E149" s="24">
        <v>-38.694837999999997</v>
      </c>
      <c r="F149" s="20">
        <v>46183</v>
      </c>
      <c r="G149" s="20">
        <f t="shared" si="6"/>
        <v>46185</v>
      </c>
      <c r="H149" s="12">
        <v>478</v>
      </c>
      <c r="I149" s="12">
        <v>486</v>
      </c>
      <c r="J149" s="12">
        <v>20</v>
      </c>
      <c r="K149" s="12">
        <v>139</v>
      </c>
      <c r="L149" s="12">
        <v>31</v>
      </c>
      <c r="M149" s="12">
        <v>1</v>
      </c>
      <c r="N149" s="12">
        <v>4</v>
      </c>
      <c r="O149" s="12">
        <v>0</v>
      </c>
      <c r="P149" s="12">
        <v>0</v>
      </c>
      <c r="Q149" s="12">
        <v>0</v>
      </c>
      <c r="R149" s="12">
        <v>0</v>
      </c>
      <c r="S149" s="12">
        <v>0</v>
      </c>
      <c r="T149" s="12">
        <v>8</v>
      </c>
      <c r="U149" s="12">
        <v>0</v>
      </c>
      <c r="V149" s="12">
        <v>0</v>
      </c>
      <c r="W149" s="12">
        <v>0</v>
      </c>
      <c r="X149" s="12">
        <v>0</v>
      </c>
      <c r="Y149" s="12">
        <v>0</v>
      </c>
      <c r="Z149" s="12">
        <v>0</v>
      </c>
      <c r="AA149" s="12">
        <v>0</v>
      </c>
      <c r="AB149" s="12">
        <v>0</v>
      </c>
      <c r="AC149" s="13">
        <f t="shared" si="7"/>
        <v>1167</v>
      </c>
    </row>
    <row r="150" spans="1:29" ht="24.95" customHeight="1" x14ac:dyDescent="0.25">
      <c r="A150" s="19" t="s">
        <v>261</v>
      </c>
      <c r="B150" s="19" t="s">
        <v>76</v>
      </c>
      <c r="C150" s="19" t="s">
        <v>262</v>
      </c>
      <c r="D150" s="24">
        <v>-4.1592560000000001</v>
      </c>
      <c r="E150" s="24">
        <v>-38.683739000000003</v>
      </c>
      <c r="F150" s="20">
        <v>46212</v>
      </c>
      <c r="G150" s="20">
        <f t="shared" si="6"/>
        <v>46214</v>
      </c>
      <c r="H150" s="12">
        <v>1713</v>
      </c>
      <c r="I150" s="12">
        <v>6130</v>
      </c>
      <c r="J150" s="12">
        <v>379</v>
      </c>
      <c r="K150" s="12">
        <v>1029</v>
      </c>
      <c r="L150" s="12">
        <v>269</v>
      </c>
      <c r="M150" s="12">
        <v>41</v>
      </c>
      <c r="N150" s="12">
        <v>34</v>
      </c>
      <c r="O150" s="12">
        <v>7</v>
      </c>
      <c r="P150" s="12">
        <v>14</v>
      </c>
      <c r="Q150" s="12">
        <v>8</v>
      </c>
      <c r="R150" s="12">
        <v>14</v>
      </c>
      <c r="S150" s="12">
        <v>6</v>
      </c>
      <c r="T150" s="12">
        <v>41</v>
      </c>
      <c r="U150" s="12">
        <v>6</v>
      </c>
      <c r="V150" s="12">
        <v>3</v>
      </c>
      <c r="W150" s="12">
        <v>5</v>
      </c>
      <c r="X150" s="12">
        <v>1</v>
      </c>
      <c r="Y150" s="12">
        <v>1</v>
      </c>
      <c r="Z150" s="12">
        <v>3</v>
      </c>
      <c r="AA150" s="12">
        <v>1</v>
      </c>
      <c r="AB150" s="12">
        <v>0</v>
      </c>
      <c r="AC150" s="13">
        <f t="shared" si="7"/>
        <v>9705</v>
      </c>
    </row>
    <row r="151" spans="1:29" ht="24.95" hidden="1" customHeight="1" x14ac:dyDescent="0.25">
      <c r="A151" s="19" t="s">
        <v>298</v>
      </c>
      <c r="B151" s="19" t="s">
        <v>399</v>
      </c>
      <c r="C151" s="19" t="s">
        <v>874</v>
      </c>
      <c r="D151" s="24">
        <v>-3.6712609999999999</v>
      </c>
      <c r="E151" s="24">
        <v>-38.815711</v>
      </c>
      <c r="F151" s="20">
        <v>46177</v>
      </c>
      <c r="G151" s="20">
        <f t="shared" si="6"/>
        <v>46179</v>
      </c>
      <c r="H151" s="12">
        <v>241</v>
      </c>
      <c r="I151" s="12">
        <v>2236</v>
      </c>
      <c r="J151" s="12">
        <v>180</v>
      </c>
      <c r="K151" s="12">
        <v>408</v>
      </c>
      <c r="L151" s="12">
        <v>195</v>
      </c>
      <c r="M151" s="12">
        <v>38</v>
      </c>
      <c r="N151" s="12">
        <v>40</v>
      </c>
      <c r="O151" s="12">
        <v>19</v>
      </c>
      <c r="P151" s="12">
        <v>3</v>
      </c>
      <c r="Q151" s="12">
        <v>13</v>
      </c>
      <c r="R151" s="12">
        <v>16</v>
      </c>
      <c r="S151" s="12">
        <v>15</v>
      </c>
      <c r="T151" s="12">
        <v>102</v>
      </c>
      <c r="U151" s="12">
        <v>1</v>
      </c>
      <c r="V151" s="12">
        <v>2</v>
      </c>
      <c r="W151" s="12">
        <v>2</v>
      </c>
      <c r="X151" s="12">
        <v>1</v>
      </c>
      <c r="Y151" s="12">
        <v>0</v>
      </c>
      <c r="Z151" s="12">
        <v>0</v>
      </c>
      <c r="AA151" s="12">
        <v>1</v>
      </c>
      <c r="AB151" s="12">
        <v>1</v>
      </c>
      <c r="AC151" s="13">
        <f t="shared" si="7"/>
        <v>3514</v>
      </c>
    </row>
    <row r="152" spans="1:29" ht="24.95" hidden="1" customHeight="1" x14ac:dyDescent="0.25">
      <c r="A152" s="19" t="s">
        <v>301</v>
      </c>
      <c r="B152" s="19" t="s">
        <v>302</v>
      </c>
      <c r="C152" s="19" t="s">
        <v>303</v>
      </c>
      <c r="D152" s="21">
        <v>-4.5677839999999996</v>
      </c>
      <c r="E152" s="21">
        <v>-41.220272999999999</v>
      </c>
      <c r="F152" s="20">
        <v>46131</v>
      </c>
      <c r="G152" s="20">
        <f t="shared" si="6"/>
        <v>46133</v>
      </c>
      <c r="H152" s="12">
        <v>62</v>
      </c>
      <c r="I152" s="12">
        <v>65</v>
      </c>
      <c r="J152" s="12">
        <v>1</v>
      </c>
      <c r="K152" s="12">
        <v>31</v>
      </c>
      <c r="L152" s="12">
        <v>25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12">
        <v>0</v>
      </c>
      <c r="U152" s="12">
        <v>0</v>
      </c>
      <c r="V152" s="12">
        <v>0</v>
      </c>
      <c r="W152" s="12">
        <v>0</v>
      </c>
      <c r="X152" s="12">
        <v>0</v>
      </c>
      <c r="Y152" s="12">
        <v>0</v>
      </c>
      <c r="Z152" s="12">
        <v>0</v>
      </c>
      <c r="AA152" s="12">
        <v>0</v>
      </c>
      <c r="AB152" s="12">
        <v>0</v>
      </c>
      <c r="AC152" s="13">
        <f t="shared" si="7"/>
        <v>184</v>
      </c>
    </row>
    <row r="153" spans="1:29" ht="24.95" hidden="1" customHeight="1" x14ac:dyDescent="0.25">
      <c r="A153" s="19" t="s">
        <v>308</v>
      </c>
      <c r="B153" s="19" t="s">
        <v>136</v>
      </c>
      <c r="C153" s="19" t="s">
        <v>309</v>
      </c>
      <c r="D153" s="21"/>
      <c r="E153" s="21"/>
      <c r="F153" s="20"/>
      <c r="G153" s="20">
        <f t="shared" si="6"/>
        <v>2</v>
      </c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3">
        <f t="shared" si="7"/>
        <v>0</v>
      </c>
    </row>
    <row r="154" spans="1:29" x14ac:dyDescent="0.25">
      <c r="H154" s="17"/>
      <c r="I154" s="17"/>
      <c r="J154" s="17"/>
    </row>
    <row r="155" spans="1:29" x14ac:dyDescent="0.25">
      <c r="H155" s="17"/>
      <c r="I155" s="17"/>
      <c r="J155" s="17"/>
    </row>
    <row r="156" spans="1:29" x14ac:dyDescent="0.25">
      <c r="H156" s="17"/>
      <c r="I156" s="17"/>
      <c r="J156" s="17"/>
    </row>
    <row r="157" spans="1:29" x14ac:dyDescent="0.25">
      <c r="J157" s="18"/>
    </row>
  </sheetData>
  <autoFilter ref="A4:AC153" xr:uid="{1D18A476-0271-4A84-BE9E-901865A86FD3}">
    <filterColumn colId="0">
      <filters>
        <filter val="E 176"/>
        <filter val="P 140"/>
      </filters>
    </filterColumn>
    <filterColumn colId="5" showButton="0"/>
  </autoFilter>
  <mergeCells count="9">
    <mergeCell ref="AC1:AC4"/>
    <mergeCell ref="H2:J2"/>
    <mergeCell ref="M2:AB2"/>
    <mergeCell ref="A1:A4"/>
    <mergeCell ref="B1:B4"/>
    <mergeCell ref="C1:C4"/>
    <mergeCell ref="D1:E3"/>
    <mergeCell ref="F1:G4"/>
    <mergeCell ref="H1:AB1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LISTA DE PONTOS</vt:lpstr>
      <vt:lpstr>DADOS COLETADOS</vt:lpstr>
      <vt:lpstr>'LISTA DE PONTOS'!Area_de_impressao</vt:lpstr>
      <vt:lpstr>'LISTA DE PONTOS'!Titulos_de_impressao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Rodrigues Lopes</dc:creator>
  <cp:lastModifiedBy>Leandro Rodrigues Lopes</cp:lastModifiedBy>
  <dcterms:created xsi:type="dcterms:W3CDTF">2026-04-15T18:40:52Z</dcterms:created>
  <dcterms:modified xsi:type="dcterms:W3CDTF">2026-07-13T11:11:03Z</dcterms:modified>
</cp:coreProperties>
</file>