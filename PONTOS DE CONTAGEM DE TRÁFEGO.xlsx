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2441B2A-25E7-48C7-8869-9E93FA9FAF23}" xr6:coauthVersionLast="47" xr6:coauthVersionMax="47" xr10:uidLastSave="{00000000-0000-0000-0000-000000000000}"/>
  <bookViews>
    <workbookView xWindow="2868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<sst xmlns="http://schemas.openxmlformats.org/spreadsheetml/2006/main" count="1873" uniqueCount="884">
  <si>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</si>
  <si>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</si>
  <si>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</si>
  <si>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</si>
  <si>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</si>
  <si>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</si>
  <si>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</si>
  <si>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</si>
  <si>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</si>
  <si>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</si>
  <si>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</si>
  <si>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</si>
  <si>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</si>
  <si>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</si>
  <si>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</si>
  <si>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</si>
  <si>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</si>
  <si>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</si>
  <si>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</si>
  <si>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</si>
  <si>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</si>
  <si>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</si>
  <si>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</si>
  <si>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</si>
  <si>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</si>
  <si>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</si>
  <si>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</si>
  <si>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</si>
  <si>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</si>
  <si>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</si>
  <si>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</si>
  <si>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</si>
  <si>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</si>
  <si>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</si>
  <si>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</si>
  <si>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</si>
  <si>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</si>
  <si>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</si>
  <si>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</si>
  <si>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</si>
  <si>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</si>
  <si>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</si>
  <si>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</si>
  <si>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</si>
  <si>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</si>
  <si>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</si>
  <si>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</si>
  <si>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</si>
  <si>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</si>
  <si>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</si>
  <si>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</si>
  <si>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</si>
  <si>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</si>
  <si>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</si>
  <si>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</si>
  <si>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</si>
  <si>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</si>
  <si>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</si>
  <si>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</si>
  <si>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</si>
  <si>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</si>
  <si>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</si>
  <si>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</si>
  <si>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</si>
  <si>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</si>
  <si>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</si>
  <si>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</si>
  <si>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</si>
  <si>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</si>
  <si>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</si>
  <si>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</si>
  <si>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</si>
  <si>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</si>
  <si>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</si>
  <si>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</si>
  <si>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</si>
  <si>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</si>
  <si>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</si>
  <si>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</si>
  <si>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</si>
  <si>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</si>
  <si>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</si>
  <si>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</si>
  <si>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</si>
  <si>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</si>
  <si>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</si>
  <si>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</si>
  <si>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</si>
  <si>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</si>
  <si>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</si>
  <si>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</si>
  <si>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</si>
  <si>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</si>
  <si>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</si>
  <si>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</si>
  <si>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</si>
  <si>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</si>
  <si>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</si>
  <si>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</si>
  <si>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</si>
  <si>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</si>
  <si>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</si>
  <si>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</si>
  <si>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</si>
  <si>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</si>
  <si>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</si>
  <si>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</si>
  <si>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</si>
  <si>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</si>
  <si>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</si>
  <si>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</si>
  <si>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</si>
  <si>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</si>
  <si>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</si>
  <si>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</si>
  <si>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</si>
  <si>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</si>
  <si>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</si>
  <si>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</si>
  <si>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</si>
  <si>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</si>
  <si>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</si>
  <si>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</si>
  <si>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</si>
  <si>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</si>
  <si>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</si>
  <si>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</si>
  <si>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</si>
  <si>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</si>
  <si>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</si>
  <si>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</si>
  <si>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</si>
  <si>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</si>
  <si>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</si>
  <si>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</si>
  <si>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</si>
  <si>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</si>
  <si>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</si>
  <si>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</si>
  <si>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</si>
  <si>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</si>
  <si>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</si>
  <si>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</si>
  <si>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</si>
  <si>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</si>
  <si>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</si>
  <si>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</si>
  <si>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</si>
  <si>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</si>
  <si>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</si>
  <si>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</si>
  <si>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</si>
  <si>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</si>
  <si>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</si>
  <si>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</si>
  <si>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</si>
  <si>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</si>
  <si>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</si>
  <si>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</si>
  <si>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</si>
  <si>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</si>
  <si>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</si>
  <si>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</si>
  <si>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</si>
  <si>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</si>
  <si>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</si>
  <si>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</si>
  <si>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</si>
  <si>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</si>
  <si>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</si>
  <si>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</si>
  <si>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</si>
  <si>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</si>
  <si>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</si>
  <si>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</si>
  <si>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</si>
  <si>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</si>
  <si>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</si>
  <si>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</si>
  <si>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</si>
  <si>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</si>
  <si>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</si>
  <si>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</si>
  <si>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</si>
  <si>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</si>
  <si>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</si>
  <si>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</si>
  <si>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</si>
  <si>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</si>
  <si>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</si>
  <si>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</si>
  <si>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</si>
  <si>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</si>
  <si>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</si>
  <si>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</si>
  <si>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</si>
  <si>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</si>
  <si>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</si>
  <si>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</si>
  <si>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</si>
  <si>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</si>
  <si>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</si>
  <si>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</si>
  <si>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</si>
  <si>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</si>
  <si>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</si>
  <si>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</si>
  <si>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</si>
  <si>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</si>
  <si>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</si>
  <si>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</si>
  <si>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</si>
  <si>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</si>
  <si>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</si>
  <si>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</si>
  <si>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</si>
  <si>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</si>
  <si>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</si>
  <si>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</si>
  <si>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</si>
  <si>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</si>
  <si>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</si>
  <si>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</si>
  <si>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</si>
  <si>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</si>
  <si>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</si>
  <si>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</si>
  <si>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</si>
  <si>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</si>
  <si>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</si>
  <si>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</si>
  <si>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</si>
  <si>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</si>
  <si>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</si>
  <si>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</si>
  <si>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</si>
  <si>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</si>
  <si>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</si>
  <si>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</si>
  <si>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</si>
  <si>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</si>
  <si>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</si>
  <si>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</si>
  <si>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</si>
  <si>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</si>
  <si>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</si>
  <si>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</si>
  <si>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</si>
  <si>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</si>
  <si>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</si>
  <si>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</si>
  <si>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</si>
  <si>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</si>
  <si>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</si>
  <si>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</si>
  <si>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</si>
  <si>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</si>
  <si>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</si>
  <si>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</si>
  <si>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</si>
  <si>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</si>
  <si>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</si>
  <si>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</si>
  <si>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</si>
  <si>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</si>
  <si>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</si>
  <si>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</si>
  <si>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</si>
  <si>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</si>
  <si>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</si>
  <si>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</si>
  <si>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</si>
  <si>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</si>
  <si>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</si>
  <si>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</si>
  <si>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</si>
  <si>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</si>
  <si>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</si>
  <si>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</si>
  <si>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</si>
  <si>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</si>
  <si>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</si>
  <si>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</si>
  <si>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</si>
  <si>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</si>
  <si>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</si>
  <si>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</si>
  <si>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</si>
  <si>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</si>
  <si>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</si>
  <si>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</si>
  <si>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</si>
  <si>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</si>
  <si>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</si>
  <si>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</si>
  <si>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</si>
  <si>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</si>
  <si>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</si>
  <si>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</si>
  <si>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</si>
  <si>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</si>
  <si>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</si>
  <si>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</si>
  <si>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</si>
  <si>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</si>
  <si>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</si>
  <si>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</si>
  <si>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</si>
  <si>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</si>
  <si>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</si>
  <si>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</si>
  <si>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</si>
  <si>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</si>
  <si>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</si>
  <si>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</si>
  <si>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</si>
  <si>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</si>
  <si>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</si>
  <si>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</si>
  <si>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</si>
  <si>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</si>
  <si>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</si>
  <si>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</si>
  <si>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</si>
  <si>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</si>
  <si>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</si>
  <si>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</si>
  <si>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</si>
  <si>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</si>
  <si>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</si>
  <si>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</si>
  <si>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</si>
  <si>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</si>
  <si>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</si>
  <si>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</si>
  <si>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</si>
  <si>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</si>
  <si>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</si>
  <si>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</si>
  <si>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</si>
  <si>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</si>
  <si>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</si>
  <si>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</si>
  <si>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</si>
  <si>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</si>
  <si>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</si>
  <si>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</si>
  <si>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</si>
  <si>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</si>
  <si>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</si>
  <si>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</si>
  <si>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</si>
  <si>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</si>
  <si>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</si>
  <si>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</si>
  <si>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</si>
  <si>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</si>
  <si>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</si>
  <si>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</si>
  <si>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</si>
  <si>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</si>
  <si>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</si>
  <si>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</si>
  <si>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</si>
  <si>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</si>
  <si>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</si>
  <si>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</si>
  <si>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</si>
  <si>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</si>
  <si>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</si>
  <si>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</si>
  <si>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</si>
  <si>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</si>
  <si>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</si>
  <si>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</si>
  <si>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</si>
  <si>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</si>
  <si>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</si>
  <si>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</si>
  <si>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</si>
  <si>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</si>
  <si>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</si>
  <si>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</si>
  <si>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</si>
  <si>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</si>
  <si>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</si>
  <si>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</si>
  <si>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</si>
  <si>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</si>
  <si>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</si>
  <si>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</si>
  <si>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</si>
  <si>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</si>
  <si>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</si>
  <si>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</si>
  <si>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</si>
  <si>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</si>
  <si>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</si>
  <si>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</si>
  <si>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</si>
  <si>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</si>
  <si>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</si>
  <si>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</si>
  <si>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</si>
  <si>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</si>
  <si>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</si>
  <si>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</si>
  <si>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</si>
  <si>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</si>
  <si>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</si>
  <si>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</si>
  <si>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</si>
  <si>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</si>
  <si>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</si>
  <si>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</si>
  <si>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</si>
  <si>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</si>
  <si>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</si>
  <si>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</si>
  <si>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</si>
  <si>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</si>
  <si>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</si>
  <si>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</si>
  <si>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</si>
  <si>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</si>
  <si>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</si>
  <si>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</si>
  <si>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</si>
  <si>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</si>
  <si>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</si>
  <si>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</si>
  <si>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</si>
  <si>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</si>
  <si>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</si>
  <si>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</si>
  <si>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</si>
  <si>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</si>
  <si>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</si>
  <si>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</si>
  <si>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</si>
  <si>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</si>
  <si>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</si>
  <si>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</si>
  <si>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</si>
  <si>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</si>
  <si>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</si>
  <si>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</si>
  <si>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</si>
  <si>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</si>
  <si>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</si>
  <si>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</si>
  <si>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</si>
  <si>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</si>
  <si>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</si>
  <si>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</si>
  <si>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</si>
  <si>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</si>
  <si>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</si>
  <si>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</si>
  <si>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</si>
  <si>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</si>
  <si>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</si>
  <si>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</si>
  <si>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</si>
  <si>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</si>
  <si>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</si>
  <si>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</si>
  <si>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</si>
  <si>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</si>
  <si>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</si>
  <si>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</si>
  <si>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</si>
  <si>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</si>
  <si>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</si>
  <si>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</si>
  <si>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</si>
  <si>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</si>
  <si>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</si>
  <si>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</si>
  <si>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</si>
  <si>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</si>
  <si>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</si>
  <si>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</si>
  <si>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</si>
  <si>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</si>
  <si>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</si>
  <si>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</si>
  <si>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</si>
  <si>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</si>
  <si>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</si>
  <si>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</si>
  <si>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</si>
  <si>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</si>
  <si>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</si>
  <si>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</si>
  <si>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</si>
  <si>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</si>
  <si>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</si>
  <si>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</si>
  <si>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</si>
  <si>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</si>
  <si>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</si>
  <si>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</si>
  <si>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</si>
  <si>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</si>
  <si>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</si>
  <si>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</si>
  <si>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</si>
  <si>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</si>
  <si>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</si>
  <si>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</si>
  <si>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</si>
  <si>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</si>
  <si>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</si>
  <si>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</si>
  <si>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</si>
  <si>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</si>
  <si>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</si>
  <si>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</si>
  <si>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</si>
  <si>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</si>
  <si>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</si>
  <si>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</si>
  <si>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</si>
  <si>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</si>
  <si>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</si>
  <si>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</si>
  <si>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</si>
  <si>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</si>
  <si>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</si>
  <si>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</si>
  <si>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</si>
  <si>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</si>
  <si>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</si>
  <si>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</si>
  <si>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</si>
  <si>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</si>
  <si>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</si>
  <si>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</si>
  <si>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</si>
  <si>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</si>
  <si>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</si>
  <si>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</si>
  <si>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</si>
  <si>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</si>
  <si>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</si>
  <si>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</si>
  <si>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</si>
  <si>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</si>
  <si>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</si>
  <si>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</si>
  <si>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</si>
  <si>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</si>
  <si>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</si>
  <si>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</si>
  <si>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</si>
  <si>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</si>
  <si>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</si>
  <si>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</si>
  <si>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</si>
  <si>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</si>
  <si>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</si>
  <si>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</si>
  <si>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</si>
  <si>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</si>
  <si>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</si>
  <si>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</si>
  <si>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</si>
  <si>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</si>
  <si>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</si>
  <si>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</si>
  <si>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</si>
  <si>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</si>
  <si>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</si>
  <si>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</si>
  <si>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</si>
  <si>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</si>
  <si>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</si>
  <si>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</si>
  <si>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</si>
  <si>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</si>
  <si>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</si>
  <si>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</si>
  <si>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</si>
  <si>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</si>
  <si>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</si>
  <si>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</si>
  <si>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</si>
  <si>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</si>
  <si>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</si>
  <si>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</si>
  <si>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</si>
  <si>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</si>
  <si>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</si>
  <si>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</si>
  <si>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</si>
  <si>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</si>
  <si>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</si>
  <si>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</si>
  <si>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</si>
  <si>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</si>
  <si>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</si>
  <si>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</si>
  <si>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</si>
  <si>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</si>
  <si>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</si>
  <si>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</si>
  <si>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</si>
  <si>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</si>
  <si>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</si>
  <si>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</si>
  <si>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</si>
  <si>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</si>
  <si>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</si>
  <si>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</si>
  <si>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</si>
  <si>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</si>
  <si>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</si>
  <si>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</si>
  <si>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</si>
  <si>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</si>
  <si>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</si>
  <si>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</si>
  <si>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</si>
  <si>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</si>
  <si>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</si>
  <si>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</si>
  <si>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</si>
  <si>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</si>
  <si>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</si>
  <si>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</si>
  <si>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</si>
  <si>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</si>
  <si>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</si>
  <si>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</si>
  <si>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</si>
  <si>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</si>
  <si>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</si>
  <si>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</si>
  <si>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</si>
  <si>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</si>
  <si>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</si>
  <si>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</si>
  <si>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</si>
  <si>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</si>
  <si>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</si>
  <si>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</si>
  <si>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ENTR. CE-333 p/ CÓRREGO FUNDO (TRAIRI)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</si>
  <si>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</si>
  <si>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</si>
  <si>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</si>
  <si>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</si>
  <si>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</si>
  <si>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</si>
  <si>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</si>
  <si>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</si>
  <si>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</si>
  <si>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</si>
  <si>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</si>
  <si>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</si>
  <si>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</si>
  <si>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</si>
  <si>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</si>
  <si>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</si>
  <si>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</si>
  <si>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</si>
  <si>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</si>
  <si>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</si>
  <si>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</si>
  <si>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</si>
  <si>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</si>
  <si>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</si>
  <si>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</si>
  <si>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</si>
  <si>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</si>
  <si>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</si>
  <si>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</si>
  <si>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</si>
  <si>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</si>
  <si>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</si>
  <si>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</si>
  <si>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</si>
  <si>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</si>
  <si>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</si>
  <si>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</si>
  <si>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</si>
  <si>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</si>
  <si>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</si>
  <si>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</si>
  <si>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</si>
  <si>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</si>
  <si>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</si>
  <si>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</si>
  <si>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</si>
  <si>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</si>
  <si>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</si>
  <si>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</si>
  <si>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</si>
  <si>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</si>
  <si>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</si>
  <si>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</si>
  <si>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</si>
  <si>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</si>
  <si>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</si>
  <si>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</si>
  <si>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</si>
  <si>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</si>
  <si>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</si>
  <si>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</si>
  <si>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</si>
  <si>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</si>
  <si>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</si>
  <si>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</si>
  <si>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</si>
  <si>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</si>
  <si>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</si>
  <si>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</si>
  <si>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</si>
  <si>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</si>
  <si>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</si>
  <si>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</si>
  <si>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</si>
  <si>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</si>
  <si>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</si>
  <si>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</si>
  <si>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</si>
  <si>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</si>
  <si>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</si>
  <si>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</si>
  <si>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</si>
  <si>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</si>
  <si>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</si>
  <si>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</si>
  <si>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</si>
  <si>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</si>
  <si>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</si>
  <si>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</si>
  <si>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</si>
  <si>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</si>
  <si>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</si>
  <si>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</si>
  <si>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</si>
  <si>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</si>
  <si>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</si>
  <si>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</si>
  <si>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</si>
  <si>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</si>
  <si>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</si>
  <si>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</si>
  <si>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</si>
  <si>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</si>
  <si>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</si>
  <si>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</si>
  <si>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</si>
  <si>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</si>
  <si>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</si>
  <si>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</si>
  <si>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</si>
  <si>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</si>
  <si>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</si>
  <si>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</si>
  <si>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</si>
  <si>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</si>
  <si>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</si>
  <si>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</si>
  <si>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</si>
  <si>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</si>
  <si>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</si>
  <si>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</si>
  <si>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</si>
  <si>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</si>
  <si>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</si>
  <si>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</si>
  <si>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</si>
  <si>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</si>
  <si>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</si>
  <si>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</si>
  <si>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</si>
  <si>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</si>
  <si>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</si>
  <si>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</si>
  <si>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</si>
  <si>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</si>
  <si>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</si>
  <si>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</si>
  <si>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</si>
  <si>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</si>
  <si>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</si>
  <si>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</si>
  <si>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</si>
  <si>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</si>
  <si>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</si>
  <si>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</si>
  <si>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</si>
  <si>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</si>
  <si>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</si>
  <si>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</si>
  <si>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</si>
  <si>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</si>
  <si>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</si>
  <si>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</si>
  <si>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</si>
  <si>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</si>
  <si>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</si>
  <si>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</si>
  <si>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</si>
  <si>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</si>
  <si>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</si>
  <si>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</si>
  <si>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</si>
  <si>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</si>
  <si>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</si>
  <si>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</si>
  <si>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</si>
  <si>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</si>
  <si>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</si>
  <si>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</si>
  <si>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</si>
  <si>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</si>
  <si>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</si>
  <si>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</si>
  <si>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</si>
  <si>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</si>
  <si>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</si>
  <si>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</si>
  <si>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</si>
  <si>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</si>
  <si>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</si>
  <si>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</si>
  <si>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</si>
  <si>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</si>
  <si>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</si>
  <si>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</si>
  <si>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</si>
  <si>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</si>
  <si>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</si>
  <si>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</si>
  <si>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</si>
  <si>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</si>
  <si>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</si>
  <si>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</si>
  <si>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</si>
  <si>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</si>
  <si>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</si>
  <si>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</si>
  <si>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</si>
  <si>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</si>
  <si>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</si>
  <si>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</si>
  <si>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</si>
  <si>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</si>
  <si>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</si>
  <si>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</si>
  <si>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</si>
  <si>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</si>
  <si>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</si>
  <si>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</si>
  <si>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</si>
  <si>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</si>
  <si>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</si>
  <si>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</si>
  <si>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</si>
  <si>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</si>
  <si>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</si>
  <si>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</si>
  <si>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</si>
  <si>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</si>
  <si>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</si>
  <si>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</si>
  <si>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</si>
  <si>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</si>
  <si>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</si>
  <si>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</si>
  <si>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</si>
  <si>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</si>
  <si>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</si>
  <si>
    <t>ENTR. CE-163(B) p/ TRAIRI</t>
  </si>
  <si>
    <t>085ECE0270D0</t>
  </si>
  <si>
    <t>ENTR BR-116(B)</t>
  </si>
  <si>
    <t>ENTR CE-257</t>
  </si>
  <si>
    <t>122BCE0011S0</t>
  </si>
  <si>
    <t>222BCE0045S0</t>
  </si>
  <si>
    <t>ENTR CE-156(A) (CATUANA)</t>
  </si>
  <si>
    <t>ENTR CE-155 (P/PECÉM)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</si>
</sst>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H63" sqref="H63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782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783</v>
      </c>
      <c r="K2" s="6" t="s">
        <v>17</v>
      </c>
    </row>
    <row r="3" spans="1:11" hidden="1" x14ac:dyDescent="0.25">
      <c r="A3" s="1" t="s">
        <v>18</v>
      </c>
      <c r="B3" s="4" t="s">
        <v>19</v>
      </c>
      <c r="C3" s="5">
        <v>-4.7480820000000001</v>
      </c>
      <c r="D3" s="5">
        <v>-40.788862999999999</v>
      </c>
      <c r="E3" s="4" t="s">
        <v>12</v>
      </c>
      <c r="F3" s="4" t="s">
        <v>20</v>
      </c>
      <c r="G3" s="4" t="s">
        <v>21</v>
      </c>
      <c r="H3" s="4" t="s">
        <v>14</v>
      </c>
      <c r="I3" s="4" t="s">
        <v>16</v>
      </c>
      <c r="J3" s="6" t="s">
        <v>783</v>
      </c>
      <c r="K3" s="6" t="s">
        <v>17</v>
      </c>
    </row>
    <row r="4" spans="1:11" hidden="1" x14ac:dyDescent="0.25">
      <c r="A4" s="1" t="s">
        <v>22</v>
      </c>
      <c r="B4" s="4" t="s">
        <v>23</v>
      </c>
      <c r="C4" s="5">
        <v>-4.8189970000000004</v>
      </c>
      <c r="D4" s="5">
        <v>-37.872013000000003</v>
      </c>
      <c r="E4" s="4" t="s">
        <v>24</v>
      </c>
      <c r="F4" s="4" t="s">
        <v>25</v>
      </c>
      <c r="G4" s="4" t="s">
        <v>26</v>
      </c>
      <c r="H4" s="4" t="s">
        <v>27</v>
      </c>
      <c r="I4" s="4" t="s">
        <v>16</v>
      </c>
      <c r="J4" s="6" t="s">
        <v>783</v>
      </c>
      <c r="K4" s="6" t="s">
        <v>17</v>
      </c>
    </row>
    <row r="5" spans="1:11" hidden="1" x14ac:dyDescent="0.25">
      <c r="A5" s="1" t="s">
        <v>28</v>
      </c>
      <c r="B5" s="4" t="s">
        <v>29</v>
      </c>
      <c r="C5" s="5">
        <v>-4.9643360000000003</v>
      </c>
      <c r="D5" s="5">
        <v>-38.996361</v>
      </c>
      <c r="E5" s="4" t="s">
        <v>12</v>
      </c>
      <c r="F5" s="4" t="s">
        <v>30</v>
      </c>
      <c r="G5" s="4" t="s">
        <v>31</v>
      </c>
      <c r="H5" s="4" t="s">
        <v>32</v>
      </c>
      <c r="I5" s="4" t="s">
        <v>16</v>
      </c>
      <c r="J5" s="6" t="s">
        <v>783</v>
      </c>
      <c r="K5" s="6" t="s">
        <v>17</v>
      </c>
    </row>
    <row r="6" spans="1:11" hidden="1" x14ac:dyDescent="0.25">
      <c r="A6" s="1" t="s">
        <v>33</v>
      </c>
      <c r="B6" s="4" t="s">
        <v>34</v>
      </c>
      <c r="C6" s="5">
        <v>-4.1047820000000002</v>
      </c>
      <c r="D6" s="5">
        <v>-38.789633000000002</v>
      </c>
      <c r="E6" s="4" t="s">
        <v>35</v>
      </c>
      <c r="F6" s="4" t="s">
        <v>36</v>
      </c>
      <c r="G6" s="4" t="s">
        <v>37</v>
      </c>
      <c r="H6" s="4" t="s">
        <v>38</v>
      </c>
      <c r="I6" s="4" t="s">
        <v>16</v>
      </c>
      <c r="J6" s="6" t="s">
        <v>783</v>
      </c>
      <c r="K6" s="6" t="s">
        <v>17</v>
      </c>
    </row>
    <row r="7" spans="1:11" hidden="1" x14ac:dyDescent="0.25">
      <c r="A7" s="1" t="s">
        <v>39</v>
      </c>
      <c r="B7" s="4" t="s">
        <v>40</v>
      </c>
      <c r="C7" s="5">
        <v>-4.0690010000000001</v>
      </c>
      <c r="D7" s="25">
        <v>-38.810313000000001</v>
      </c>
      <c r="E7" s="4" t="s">
        <v>41</v>
      </c>
      <c r="F7" s="4" t="s">
        <v>42</v>
      </c>
      <c r="G7" s="4" t="s">
        <v>43</v>
      </c>
      <c r="H7" s="4" t="s">
        <v>44</v>
      </c>
      <c r="I7" s="4" t="s">
        <v>16</v>
      </c>
      <c r="J7" s="6" t="s">
        <v>783</v>
      </c>
      <c r="K7" s="6" t="s">
        <v>17</v>
      </c>
    </row>
    <row r="8" spans="1:11" hidden="1" x14ac:dyDescent="0.25">
      <c r="A8" s="1" t="s">
        <v>45</v>
      </c>
      <c r="B8" s="4" t="s">
        <v>46</v>
      </c>
      <c r="C8" s="5">
        <v>-3.564063</v>
      </c>
      <c r="D8" s="5">
        <v>-39.971214000000003</v>
      </c>
      <c r="E8" s="4" t="s">
        <v>47</v>
      </c>
      <c r="F8" s="4" t="s">
        <v>48</v>
      </c>
      <c r="G8" s="4" t="s">
        <v>49</v>
      </c>
      <c r="H8" s="4" t="s">
        <v>50</v>
      </c>
      <c r="I8" s="4" t="s">
        <v>16</v>
      </c>
      <c r="J8" s="6" t="s">
        <v>783</v>
      </c>
      <c r="K8" s="6" t="s">
        <v>17</v>
      </c>
    </row>
    <row r="9" spans="1:11" hidden="1" x14ac:dyDescent="0.25">
      <c r="A9" s="1" t="s">
        <v>51</v>
      </c>
      <c r="B9" s="4" t="s">
        <v>52</v>
      </c>
      <c r="C9" s="5">
        <v>-3.56412</v>
      </c>
      <c r="D9" s="5">
        <v>-39.969997999999997</v>
      </c>
      <c r="E9" s="4" t="s">
        <v>47</v>
      </c>
      <c r="F9" s="4" t="s">
        <v>53</v>
      </c>
      <c r="G9" s="4" t="s">
        <v>54</v>
      </c>
      <c r="H9" s="4" t="s">
        <v>49</v>
      </c>
      <c r="I9" s="4" t="s">
        <v>16</v>
      </c>
      <c r="J9" s="6" t="s">
        <v>783</v>
      </c>
      <c r="K9" s="6" t="s">
        <v>17</v>
      </c>
    </row>
    <row r="10" spans="1:11" hidden="1" x14ac:dyDescent="0.25">
      <c r="A10" s="1" t="s">
        <v>55</v>
      </c>
      <c r="B10" s="4" t="s">
        <v>56</v>
      </c>
      <c r="C10" s="5">
        <v>-2.9383110000000001</v>
      </c>
      <c r="D10" s="5">
        <v>-40.181694</v>
      </c>
      <c r="E10" s="4" t="s">
        <v>57</v>
      </c>
      <c r="F10" s="4" t="s">
        <v>58</v>
      </c>
      <c r="G10" s="4" t="s">
        <v>59</v>
      </c>
      <c r="H10" s="4" t="s">
        <v>60</v>
      </c>
      <c r="I10" s="4" t="s">
        <v>16</v>
      </c>
      <c r="J10" s="6" t="s">
        <v>783</v>
      </c>
      <c r="K10" s="6" t="s">
        <v>17</v>
      </c>
    </row>
    <row r="11" spans="1:11" hidden="1" x14ac:dyDescent="0.25">
      <c r="A11" s="1" t="s">
        <v>61</v>
      </c>
      <c r="B11" s="4" t="s">
        <v>62</v>
      </c>
      <c r="C11" s="5">
        <v>-4.1096320000000004</v>
      </c>
      <c r="D11" s="5">
        <v>-38.748489999999997</v>
      </c>
      <c r="E11" s="4" t="s">
        <v>63</v>
      </c>
      <c r="F11" s="4" t="s">
        <v>64</v>
      </c>
      <c r="G11" s="4" t="s">
        <v>65</v>
      </c>
      <c r="H11" s="4" t="s">
        <v>66</v>
      </c>
      <c r="I11" s="4" t="s">
        <v>16</v>
      </c>
      <c r="J11" s="6" t="s">
        <v>783</v>
      </c>
      <c r="K11" s="6" t="s">
        <v>17</v>
      </c>
    </row>
    <row r="12" spans="1:11" hidden="1" x14ac:dyDescent="0.25">
      <c r="A12" s="1" t="s">
        <v>67</v>
      </c>
      <c r="B12" s="4" t="s">
        <v>68</v>
      </c>
      <c r="C12" s="5">
        <v>-4.1021159999999997</v>
      </c>
      <c r="D12" s="5">
        <v>-38.285411000000003</v>
      </c>
      <c r="E12" s="4" t="s">
        <v>69</v>
      </c>
      <c r="F12" s="4" t="s">
        <v>70</v>
      </c>
      <c r="G12" s="4" t="s">
        <v>71</v>
      </c>
      <c r="H12" s="4" t="s">
        <v>72</v>
      </c>
      <c r="I12" s="4" t="s">
        <v>16</v>
      </c>
      <c r="J12" s="6" t="s">
        <v>783</v>
      </c>
      <c r="K12" s="6" t="s">
        <v>17</v>
      </c>
    </row>
    <row r="13" spans="1:11" hidden="1" x14ac:dyDescent="0.25">
      <c r="A13" s="1" t="s">
        <v>73</v>
      </c>
      <c r="B13" s="4" t="s">
        <v>74</v>
      </c>
      <c r="C13" s="5">
        <v>-4.8604089999999998</v>
      </c>
      <c r="D13" s="5">
        <v>-39.051761999999997</v>
      </c>
      <c r="E13" s="4" t="s">
        <v>75</v>
      </c>
      <c r="F13" s="4" t="s">
        <v>76</v>
      </c>
      <c r="G13" s="4" t="s">
        <v>77</v>
      </c>
      <c r="H13" s="4" t="s">
        <v>78</v>
      </c>
      <c r="I13" s="4" t="s">
        <v>16</v>
      </c>
      <c r="J13" s="6" t="s">
        <v>783</v>
      </c>
      <c r="K13" s="6" t="s">
        <v>17</v>
      </c>
    </row>
    <row r="14" spans="1:11" hidden="1" x14ac:dyDescent="0.25">
      <c r="A14" s="1" t="s">
        <v>203</v>
      </c>
      <c r="B14" s="4" t="s">
        <v>204</v>
      </c>
      <c r="C14" s="5">
        <v>-4.9313539999999998</v>
      </c>
      <c r="D14" s="5">
        <v>-40.527043999999997</v>
      </c>
      <c r="E14" s="4" t="s">
        <v>205</v>
      </c>
      <c r="F14" s="4" t="s">
        <v>206</v>
      </c>
      <c r="G14" s="4" t="s">
        <v>207</v>
      </c>
      <c r="H14" s="4" t="s">
        <v>208</v>
      </c>
      <c r="I14" s="4" t="s">
        <v>16</v>
      </c>
      <c r="J14" s="6" t="s">
        <v>783</v>
      </c>
      <c r="K14" s="6" t="s">
        <v>17</v>
      </c>
    </row>
    <row r="15" spans="1:11" hidden="1" x14ac:dyDescent="0.25">
      <c r="A15" s="1" t="s">
        <v>209</v>
      </c>
      <c r="B15" s="4" t="s">
        <v>210</v>
      </c>
      <c r="C15" s="5">
        <v>-3.763614</v>
      </c>
      <c r="D15" s="5">
        <v>-40.979315</v>
      </c>
      <c r="E15" s="4" t="s">
        <v>205</v>
      </c>
      <c r="F15" s="4" t="s">
        <v>211</v>
      </c>
      <c r="G15" s="4" t="s">
        <v>212</v>
      </c>
      <c r="H15" s="4" t="s">
        <v>213</v>
      </c>
      <c r="I15" s="4" t="s">
        <v>16</v>
      </c>
      <c r="J15" s="6" t="s">
        <v>783</v>
      </c>
      <c r="K15" s="6" t="s">
        <v>17</v>
      </c>
    </row>
    <row r="16" spans="1:11" hidden="1" x14ac:dyDescent="0.25">
      <c r="A16" s="1" t="s">
        <v>214</v>
      </c>
      <c r="B16" s="4" t="s">
        <v>215</v>
      </c>
      <c r="C16" s="5">
        <v>-4.3993669999999998</v>
      </c>
      <c r="D16" s="5">
        <v>-40.711840000000002</v>
      </c>
      <c r="E16" s="4" t="s">
        <v>86</v>
      </c>
      <c r="F16" s="4" t="s">
        <v>216</v>
      </c>
      <c r="G16" s="4" t="s">
        <v>217</v>
      </c>
      <c r="H16" s="4" t="s">
        <v>218</v>
      </c>
      <c r="I16" s="4" t="s">
        <v>16</v>
      </c>
      <c r="J16" s="6" t="s">
        <v>783</v>
      </c>
      <c r="K16" s="6" t="s">
        <v>17</v>
      </c>
    </row>
    <row r="17" spans="1:11" hidden="1" x14ac:dyDescent="0.25">
      <c r="A17" s="1" t="s">
        <v>219</v>
      </c>
      <c r="B17" s="4" t="s">
        <v>220</v>
      </c>
      <c r="C17" s="5">
        <v>-3.8485079999999998</v>
      </c>
      <c r="D17" s="5">
        <v>-40.654885999999998</v>
      </c>
      <c r="E17" s="4" t="s">
        <v>145</v>
      </c>
      <c r="F17" s="4" t="s">
        <v>221</v>
      </c>
      <c r="G17" s="4" t="s">
        <v>222</v>
      </c>
      <c r="H17" s="4" t="s">
        <v>223</v>
      </c>
      <c r="I17" s="4" t="s">
        <v>16</v>
      </c>
      <c r="J17" s="6" t="s">
        <v>783</v>
      </c>
      <c r="K17" s="6" t="s">
        <v>17</v>
      </c>
    </row>
    <row r="18" spans="1:11" hidden="1" x14ac:dyDescent="0.25">
      <c r="A18" s="1" t="s">
        <v>224</v>
      </c>
      <c r="B18" s="4" t="s">
        <v>225</v>
      </c>
      <c r="C18" s="5">
        <v>-4.2870549999999996</v>
      </c>
      <c r="D18" s="5">
        <v>-38.933565000000002</v>
      </c>
      <c r="E18" s="4" t="s">
        <v>226</v>
      </c>
      <c r="F18" s="4" t="s">
        <v>227</v>
      </c>
      <c r="G18" s="4" t="s">
        <v>228</v>
      </c>
      <c r="H18" s="4" t="s">
        <v>229</v>
      </c>
      <c r="I18" s="4" t="s">
        <v>16</v>
      </c>
      <c r="J18" s="6" t="s">
        <v>783</v>
      </c>
      <c r="K18" s="6" t="s">
        <v>17</v>
      </c>
    </row>
    <row r="19" spans="1:11" hidden="1" x14ac:dyDescent="0.25">
      <c r="A19" s="1" t="s">
        <v>230</v>
      </c>
      <c r="B19" s="4" t="s">
        <v>231</v>
      </c>
      <c r="C19" s="5">
        <v>-3.9898509999999998</v>
      </c>
      <c r="D19" s="5">
        <v>-40.075502</v>
      </c>
      <c r="E19" s="4" t="s">
        <v>232</v>
      </c>
      <c r="F19" s="4" t="s">
        <v>233</v>
      </c>
      <c r="G19" s="4" t="s">
        <v>234</v>
      </c>
      <c r="H19" s="4" t="s">
        <v>235</v>
      </c>
      <c r="I19" s="4" t="s">
        <v>16</v>
      </c>
      <c r="J19" s="6" t="s">
        <v>783</v>
      </c>
      <c r="K19" s="6" t="s">
        <v>17</v>
      </c>
    </row>
    <row r="20" spans="1:11" hidden="1" x14ac:dyDescent="0.25">
      <c r="A20" s="1" t="s">
        <v>236</v>
      </c>
      <c r="B20" s="4" t="s">
        <v>237</v>
      </c>
      <c r="C20" s="5">
        <v>-3.9891380000000001</v>
      </c>
      <c r="D20" s="5">
        <v>-40.077649999999998</v>
      </c>
      <c r="E20" s="4" t="s">
        <v>238</v>
      </c>
      <c r="F20" s="4" t="s">
        <v>239</v>
      </c>
      <c r="G20" s="4" t="s">
        <v>240</v>
      </c>
      <c r="H20" s="4" t="s">
        <v>241</v>
      </c>
      <c r="I20" s="4" t="s">
        <v>16</v>
      </c>
      <c r="J20" s="6" t="s">
        <v>783</v>
      </c>
      <c r="K20" s="6" t="s">
        <v>17</v>
      </c>
    </row>
    <row r="21" spans="1:11" hidden="1" x14ac:dyDescent="0.25">
      <c r="A21" s="1" t="s">
        <v>242</v>
      </c>
      <c r="B21" s="4" t="s">
        <v>243</v>
      </c>
      <c r="C21" s="5">
        <v>-3.444842</v>
      </c>
      <c r="D21" s="5">
        <v>-39.394502000000003</v>
      </c>
      <c r="E21" s="4" t="s">
        <v>47</v>
      </c>
      <c r="F21" s="4" t="s">
        <v>244</v>
      </c>
      <c r="G21" s="4" t="s">
        <v>245</v>
      </c>
      <c r="H21" s="4" t="s">
        <v>246</v>
      </c>
      <c r="I21" s="4" t="s">
        <v>16</v>
      </c>
      <c r="J21" s="6" t="s">
        <v>783</v>
      </c>
      <c r="K21" s="6" t="s">
        <v>17</v>
      </c>
    </row>
    <row r="22" spans="1:11" hidden="1" x14ac:dyDescent="0.25">
      <c r="A22" s="1" t="s">
        <v>247</v>
      </c>
      <c r="B22" s="4" t="s">
        <v>248</v>
      </c>
      <c r="C22" s="5">
        <v>-4.5082250000000004</v>
      </c>
      <c r="D22" s="5">
        <v>-38.358925999999997</v>
      </c>
      <c r="E22" s="4" t="s">
        <v>188</v>
      </c>
      <c r="F22" s="4" t="s">
        <v>249</v>
      </c>
      <c r="G22" s="4" t="s">
        <v>250</v>
      </c>
      <c r="H22" s="4" t="s">
        <v>251</v>
      </c>
      <c r="I22" s="4" t="s">
        <v>16</v>
      </c>
      <c r="J22" s="6" t="s">
        <v>783</v>
      </c>
      <c r="K22" s="6" t="s">
        <v>17</v>
      </c>
    </row>
    <row r="23" spans="1:11" hidden="1" x14ac:dyDescent="0.25">
      <c r="A23" s="1" t="s">
        <v>252</v>
      </c>
      <c r="B23" s="4" t="s">
        <v>253</v>
      </c>
      <c r="C23" s="5">
        <v>-4.1661080000000004</v>
      </c>
      <c r="D23" s="5">
        <v>-38.694837999999997</v>
      </c>
      <c r="E23" s="4" t="s">
        <v>41</v>
      </c>
      <c r="F23" s="4" t="s">
        <v>254</v>
      </c>
      <c r="G23" s="4" t="s">
        <v>255</v>
      </c>
      <c r="H23" s="4" t="s">
        <v>256</v>
      </c>
      <c r="I23" s="4" t="s">
        <v>16</v>
      </c>
      <c r="J23" s="6" t="s">
        <v>783</v>
      </c>
      <c r="K23" s="6" t="s">
        <v>17</v>
      </c>
    </row>
    <row r="24" spans="1:11" hidden="1" x14ac:dyDescent="0.25">
      <c r="A24" s="1" t="s">
        <v>257</v>
      </c>
      <c r="B24" s="4" t="s">
        <v>258</v>
      </c>
      <c r="C24" s="5">
        <v>-4.1592560000000001</v>
      </c>
      <c r="D24" s="5">
        <v>-38.683739000000003</v>
      </c>
      <c r="E24" s="4" t="s">
        <v>75</v>
      </c>
      <c r="F24" s="4" t="s">
        <v>259</v>
      </c>
      <c r="G24" s="4" t="s">
        <v>65</v>
      </c>
      <c r="H24" s="4" t="s">
        <v>260</v>
      </c>
      <c r="I24" s="4" t="s">
        <v>16</v>
      </c>
      <c r="J24" s="6" t="s">
        <v>783</v>
      </c>
      <c r="K24" s="6" t="s">
        <v>175</v>
      </c>
    </row>
    <row r="25" spans="1:11" hidden="1" x14ac:dyDescent="0.25">
      <c r="A25" s="1" t="s">
        <v>261</v>
      </c>
      <c r="B25" s="4" t="s">
        <v>262</v>
      </c>
      <c r="C25" s="5">
        <v>-3.8713510000000002</v>
      </c>
      <c r="D25" s="5">
        <v>-39.534920999999997</v>
      </c>
      <c r="E25" s="4" t="s">
        <v>263</v>
      </c>
      <c r="F25" s="4" t="s">
        <v>264</v>
      </c>
      <c r="G25" s="4" t="s">
        <v>265</v>
      </c>
      <c r="H25" s="4" t="s">
        <v>266</v>
      </c>
      <c r="I25" s="4" t="s">
        <v>16</v>
      </c>
      <c r="J25" s="6" t="s">
        <v>783</v>
      </c>
      <c r="K25" s="6" t="s">
        <v>17</v>
      </c>
    </row>
    <row r="26" spans="1:11" hidden="1" x14ac:dyDescent="0.25">
      <c r="A26" s="1" t="s">
        <v>267</v>
      </c>
      <c r="B26" s="4" t="s">
        <v>268</v>
      </c>
      <c r="C26" s="5">
        <v>-4.0275179999999997</v>
      </c>
      <c r="D26" s="5">
        <v>-39.452258999999998</v>
      </c>
      <c r="E26" s="4" t="s">
        <v>269</v>
      </c>
      <c r="F26" s="4" t="s">
        <v>270</v>
      </c>
      <c r="G26" s="4" t="s">
        <v>271</v>
      </c>
      <c r="H26" s="4" t="s">
        <v>272</v>
      </c>
      <c r="I26" s="4" t="s">
        <v>16</v>
      </c>
      <c r="J26" s="6" t="s">
        <v>783</v>
      </c>
      <c r="K26" s="6" t="s">
        <v>17</v>
      </c>
    </row>
    <row r="27" spans="1:11" hidden="1" x14ac:dyDescent="0.25">
      <c r="A27" s="1" t="s">
        <v>273</v>
      </c>
      <c r="B27" s="4" t="s">
        <v>274</v>
      </c>
      <c r="C27" s="5">
        <v>-4.1980709999999997</v>
      </c>
      <c r="D27" s="5">
        <v>-38.904389999999999</v>
      </c>
      <c r="E27" s="4" t="s">
        <v>35</v>
      </c>
      <c r="F27" s="4" t="s">
        <v>275</v>
      </c>
      <c r="G27" s="4" t="s">
        <v>276</v>
      </c>
      <c r="H27" s="4" t="s">
        <v>277</v>
      </c>
      <c r="I27" s="4" t="s">
        <v>16</v>
      </c>
      <c r="J27" s="6" t="s">
        <v>783</v>
      </c>
      <c r="K27" s="6" t="s">
        <v>17</v>
      </c>
    </row>
    <row r="28" spans="1:11" hidden="1" x14ac:dyDescent="0.25">
      <c r="A28" s="1" t="s">
        <v>278</v>
      </c>
      <c r="B28" s="4" t="s">
        <v>279</v>
      </c>
      <c r="C28" s="5">
        <v>-4.2305849999999996</v>
      </c>
      <c r="D28" s="5">
        <v>-38.930357000000001</v>
      </c>
      <c r="E28" s="4" t="s">
        <v>35</v>
      </c>
      <c r="F28" s="4" t="s">
        <v>280</v>
      </c>
      <c r="G28" s="4" t="s">
        <v>281</v>
      </c>
      <c r="H28" s="4" t="s">
        <v>282</v>
      </c>
      <c r="I28" s="4" t="s">
        <v>16</v>
      </c>
      <c r="J28" s="6" t="s">
        <v>783</v>
      </c>
      <c r="K28" s="6" t="s">
        <v>17</v>
      </c>
    </row>
    <row r="29" spans="1:11" hidden="1" x14ac:dyDescent="0.25">
      <c r="A29" s="1" t="s">
        <v>79</v>
      </c>
      <c r="B29" s="4" t="s">
        <v>80</v>
      </c>
      <c r="C29" s="5">
        <v>-4.4056509999999998</v>
      </c>
      <c r="D29" s="5">
        <v>-39.049227999999999</v>
      </c>
      <c r="E29" s="4" t="s">
        <v>35</v>
      </c>
      <c r="F29" s="4" t="s">
        <v>81</v>
      </c>
      <c r="G29" s="4" t="s">
        <v>82</v>
      </c>
      <c r="H29" s="4" t="s">
        <v>83</v>
      </c>
      <c r="I29" s="4" t="s">
        <v>16</v>
      </c>
      <c r="J29" s="6" t="s">
        <v>783</v>
      </c>
      <c r="K29" s="6" t="s">
        <v>17</v>
      </c>
    </row>
    <row r="30" spans="1:11" hidden="1" x14ac:dyDescent="0.25">
      <c r="A30" s="1" t="s">
        <v>84</v>
      </c>
      <c r="B30" s="4" t="s">
        <v>85</v>
      </c>
      <c r="C30" s="5">
        <v>-4.4364990000000004</v>
      </c>
      <c r="D30" s="5">
        <v>-39.025733000000002</v>
      </c>
      <c r="E30" s="4" t="s">
        <v>86</v>
      </c>
      <c r="F30" s="4" t="s">
        <v>87</v>
      </c>
      <c r="G30" s="4" t="s">
        <v>88</v>
      </c>
      <c r="H30" s="4" t="s">
        <v>89</v>
      </c>
      <c r="I30" s="4" t="s">
        <v>16</v>
      </c>
      <c r="J30" s="6" t="s">
        <v>783</v>
      </c>
      <c r="K30" s="6" t="s">
        <v>17</v>
      </c>
    </row>
    <row r="31" spans="1:11" hidden="1" x14ac:dyDescent="0.25">
      <c r="A31" s="1" t="s">
        <v>90</v>
      </c>
      <c r="B31" s="4" t="s">
        <v>91</v>
      </c>
      <c r="C31" s="5">
        <v>-4.4102269999999999</v>
      </c>
      <c r="D31" s="5">
        <v>-39.059131999999998</v>
      </c>
      <c r="E31" s="4" t="s">
        <v>86</v>
      </c>
      <c r="F31" s="4" t="s">
        <v>92</v>
      </c>
      <c r="G31" s="4" t="s">
        <v>89</v>
      </c>
      <c r="H31" s="4" t="s">
        <v>93</v>
      </c>
      <c r="I31" s="4" t="s">
        <v>16</v>
      </c>
      <c r="J31" s="6" t="s">
        <v>783</v>
      </c>
      <c r="K31" s="6" t="s">
        <v>17</v>
      </c>
    </row>
    <row r="32" spans="1:11" hidden="1" x14ac:dyDescent="0.25">
      <c r="A32" s="1" t="s">
        <v>283</v>
      </c>
      <c r="B32" s="4" t="s">
        <v>284</v>
      </c>
      <c r="C32" s="5">
        <v>-3.9746090000000001</v>
      </c>
      <c r="D32" s="5">
        <v>-38.710085999999997</v>
      </c>
      <c r="E32" s="4" t="s">
        <v>285</v>
      </c>
      <c r="F32" s="4" t="s">
        <v>286</v>
      </c>
      <c r="G32" s="4" t="s">
        <v>287</v>
      </c>
      <c r="H32" s="4" t="s">
        <v>260</v>
      </c>
      <c r="I32" s="4" t="s">
        <v>16</v>
      </c>
      <c r="J32" s="6" t="s">
        <v>783</v>
      </c>
      <c r="K32" s="6" t="s">
        <v>17</v>
      </c>
    </row>
    <row r="33" spans="1:11" hidden="1" x14ac:dyDescent="0.25">
      <c r="A33" s="1" t="s">
        <v>288</v>
      </c>
      <c r="B33" s="4" t="s">
        <v>289</v>
      </c>
      <c r="C33" s="5">
        <v>-3.2161379999999999</v>
      </c>
      <c r="D33" s="5">
        <v>-40.866370000000003</v>
      </c>
      <c r="E33" s="4" t="s">
        <v>290</v>
      </c>
      <c r="F33" s="4" t="s">
        <v>291</v>
      </c>
      <c r="G33" s="4" t="s">
        <v>292</v>
      </c>
      <c r="H33" s="4" t="s">
        <v>293</v>
      </c>
      <c r="I33" s="4" t="s">
        <v>16</v>
      </c>
      <c r="J33" s="6" t="s">
        <v>783</v>
      </c>
      <c r="K33" s="6" t="s">
        <v>17</v>
      </c>
    </row>
    <row r="34" spans="1:11" hidden="1" x14ac:dyDescent="0.25">
      <c r="A34" s="1" t="s">
        <v>294</v>
      </c>
      <c r="B34" s="4" t="s">
        <v>295</v>
      </c>
      <c r="C34" s="5">
        <v>-3.6712609999999999</v>
      </c>
      <c r="D34" s="5">
        <v>-38.815711</v>
      </c>
      <c r="E34" s="4" t="s">
        <v>396</v>
      </c>
      <c r="F34" s="4" t="s">
        <v>866</v>
      </c>
      <c r="G34" s="4" t="s">
        <v>296</v>
      </c>
      <c r="H34" s="4" t="s">
        <v>541</v>
      </c>
      <c r="I34" s="4" t="s">
        <v>16</v>
      </c>
      <c r="J34" s="6" t="s">
        <v>783</v>
      </c>
      <c r="K34" s="6" t="s">
        <v>175</v>
      </c>
    </row>
    <row r="35" spans="1:11" hidden="1" x14ac:dyDescent="0.25">
      <c r="A35" s="1" t="s">
        <v>297</v>
      </c>
      <c r="B35" s="4" t="s">
        <v>298</v>
      </c>
      <c r="C35" s="5">
        <v>-4.5677839999999996</v>
      </c>
      <c r="D35" s="5">
        <v>-41.220272999999999</v>
      </c>
      <c r="E35" s="4" t="s">
        <v>299</v>
      </c>
      <c r="F35" s="4" t="s">
        <v>300</v>
      </c>
      <c r="G35" s="4" t="s">
        <v>301</v>
      </c>
      <c r="H35" s="4" t="s">
        <v>302</v>
      </c>
      <c r="I35" s="4" t="s">
        <v>16</v>
      </c>
      <c r="J35" s="6" t="s">
        <v>783</v>
      </c>
      <c r="K35" s="6" t="s">
        <v>303</v>
      </c>
    </row>
    <row r="36" spans="1:11" hidden="1" x14ac:dyDescent="0.25">
      <c r="A36" s="1" t="s">
        <v>304</v>
      </c>
      <c r="B36" s="4" t="s">
        <v>305</v>
      </c>
      <c r="C36" s="5">
        <v>-5.9889840000000003</v>
      </c>
      <c r="D36" s="5">
        <v>-38.626269000000001</v>
      </c>
      <c r="E36" s="4" t="s">
        <v>133</v>
      </c>
      <c r="F36" s="4" t="s">
        <v>306</v>
      </c>
      <c r="G36" s="4" t="s">
        <v>307</v>
      </c>
      <c r="H36" s="4" t="s">
        <v>308</v>
      </c>
      <c r="I36" s="4" t="s">
        <v>16</v>
      </c>
      <c r="J36" s="6" t="s">
        <v>783</v>
      </c>
      <c r="K36" s="6" t="s">
        <v>17</v>
      </c>
    </row>
    <row r="37" spans="1:11" hidden="1" x14ac:dyDescent="0.25">
      <c r="A37" s="1" t="s">
        <v>94</v>
      </c>
      <c r="B37" s="4" t="s">
        <v>95</v>
      </c>
      <c r="C37" s="5">
        <v>-4.3321139999999998</v>
      </c>
      <c r="D37" s="5">
        <v>-39.286347999999997</v>
      </c>
      <c r="E37" s="4" t="s">
        <v>96</v>
      </c>
      <c r="F37" s="4" t="s">
        <v>97</v>
      </c>
      <c r="G37" s="4" t="s">
        <v>98</v>
      </c>
      <c r="H37" s="4" t="s">
        <v>99</v>
      </c>
      <c r="I37" s="4" t="s">
        <v>100</v>
      </c>
      <c r="J37" s="6" t="s">
        <v>783</v>
      </c>
      <c r="K37" s="6" t="s">
        <v>17</v>
      </c>
    </row>
    <row r="38" spans="1:11" hidden="1" x14ac:dyDescent="0.25">
      <c r="A38" s="1" t="s">
        <v>101</v>
      </c>
      <c r="B38" s="4" t="s">
        <v>102</v>
      </c>
      <c r="C38" s="5">
        <v>-4.2180660000000003</v>
      </c>
      <c r="D38" s="5">
        <v>-38.474912000000003</v>
      </c>
      <c r="E38" s="4" t="s">
        <v>103</v>
      </c>
      <c r="F38" s="4" t="s">
        <v>104</v>
      </c>
      <c r="G38" s="4" t="s">
        <v>105</v>
      </c>
      <c r="H38" s="4" t="s">
        <v>106</v>
      </c>
      <c r="I38" s="4" t="s">
        <v>100</v>
      </c>
      <c r="J38" s="6" t="s">
        <v>783</v>
      </c>
      <c r="K38" s="6" t="s">
        <v>17</v>
      </c>
    </row>
    <row r="39" spans="1:11" hidden="1" x14ac:dyDescent="0.25">
      <c r="A39" s="1" t="s">
        <v>107</v>
      </c>
      <c r="B39" s="4" t="s">
        <v>108</v>
      </c>
      <c r="C39" s="5">
        <v>-4.9123150000000004</v>
      </c>
      <c r="D39" s="5">
        <v>-38.000574</v>
      </c>
      <c r="E39" s="4" t="s">
        <v>103</v>
      </c>
      <c r="F39" s="4" t="s">
        <v>109</v>
      </c>
      <c r="G39" s="4" t="s">
        <v>110</v>
      </c>
      <c r="H39" s="4" t="s">
        <v>111</v>
      </c>
      <c r="I39" s="4" t="s">
        <v>100</v>
      </c>
      <c r="J39" s="6" t="s">
        <v>783</v>
      </c>
      <c r="K39" s="6" t="s">
        <v>17</v>
      </c>
    </row>
    <row r="40" spans="1:11" x14ac:dyDescent="0.25">
      <c r="A40" s="1" t="s">
        <v>112</v>
      </c>
      <c r="B40" s="4" t="s">
        <v>113</v>
      </c>
      <c r="C40" s="5">
        <v>-3.7101890000000002</v>
      </c>
      <c r="D40" s="5">
        <v>-38.829062999999998</v>
      </c>
      <c r="E40" s="4" t="s">
        <v>114</v>
      </c>
      <c r="F40" s="4" t="s">
        <v>881</v>
      </c>
      <c r="G40" s="4" t="s">
        <v>883</v>
      </c>
      <c r="H40" s="4" t="s">
        <v>882</v>
      </c>
      <c r="I40" s="4" t="s">
        <v>100</v>
      </c>
      <c r="J40" s="6" t="s">
        <v>783</v>
      </c>
      <c r="K40" s="6" t="s">
        <v>17</v>
      </c>
    </row>
    <row r="41" spans="1:11" hidden="1" x14ac:dyDescent="0.25">
      <c r="A41" s="1" t="s">
        <v>116</v>
      </c>
      <c r="B41" s="4" t="s">
        <v>117</v>
      </c>
      <c r="C41" s="5">
        <v>-3.751042</v>
      </c>
      <c r="D41" s="5">
        <v>-40.032590999999996</v>
      </c>
      <c r="E41" s="4" t="s">
        <v>114</v>
      </c>
      <c r="F41" s="4" t="s">
        <v>118</v>
      </c>
      <c r="G41" s="4" t="s">
        <v>119</v>
      </c>
      <c r="H41" s="4" t="s">
        <v>120</v>
      </c>
      <c r="I41" s="4" t="s">
        <v>100</v>
      </c>
      <c r="J41" s="6" t="s">
        <v>783</v>
      </c>
      <c r="K41" s="6" t="s">
        <v>17</v>
      </c>
    </row>
    <row r="42" spans="1:11" hidden="1" x14ac:dyDescent="0.25">
      <c r="A42" s="1" t="s">
        <v>121</v>
      </c>
      <c r="B42" s="4" t="s">
        <v>122</v>
      </c>
      <c r="C42" s="5">
        <v>-3.7484069999999998</v>
      </c>
      <c r="D42" s="5">
        <v>-41.013356999999999</v>
      </c>
      <c r="E42" s="4" t="s">
        <v>114</v>
      </c>
      <c r="F42" s="4" t="s">
        <v>123</v>
      </c>
      <c r="G42" s="4" t="s">
        <v>124</v>
      </c>
      <c r="H42" s="4" t="s">
        <v>125</v>
      </c>
      <c r="I42" s="4" t="s">
        <v>100</v>
      </c>
      <c r="J42" s="6" t="s">
        <v>783</v>
      </c>
      <c r="K42" s="6" t="s">
        <v>17</v>
      </c>
    </row>
    <row r="43" spans="1:11" hidden="1" x14ac:dyDescent="0.25">
      <c r="A43" s="1" t="s">
        <v>309</v>
      </c>
      <c r="B43" s="4" t="s">
        <v>310</v>
      </c>
      <c r="C43" s="5">
        <v>-4.228675</v>
      </c>
      <c r="D43" s="5">
        <v>-38.906652000000001</v>
      </c>
      <c r="E43" s="4" t="s">
        <v>145</v>
      </c>
      <c r="F43" s="4" t="s">
        <v>311</v>
      </c>
      <c r="G43" s="4" t="s">
        <v>312</v>
      </c>
      <c r="H43" s="4" t="s">
        <v>313</v>
      </c>
      <c r="I43" s="4" t="s">
        <v>148</v>
      </c>
      <c r="J43" s="6" t="s">
        <v>783</v>
      </c>
      <c r="K43" s="6" t="s">
        <v>17</v>
      </c>
    </row>
    <row r="44" spans="1:11" hidden="1" x14ac:dyDescent="0.25">
      <c r="A44" s="1" t="s">
        <v>314</v>
      </c>
      <c r="B44" s="4" t="s">
        <v>315</v>
      </c>
      <c r="C44" s="5">
        <v>-3.910955</v>
      </c>
      <c r="D44" s="5">
        <v>-40.392012999999999</v>
      </c>
      <c r="E44" s="4" t="s">
        <v>145</v>
      </c>
      <c r="F44" s="4" t="s">
        <v>316</v>
      </c>
      <c r="G44" s="4" t="s">
        <v>317</v>
      </c>
      <c r="H44" s="4" t="s">
        <v>318</v>
      </c>
      <c r="I44" s="4" t="s">
        <v>100</v>
      </c>
      <c r="J44" s="6" t="s">
        <v>783</v>
      </c>
      <c r="K44" s="6" t="s">
        <v>17</v>
      </c>
    </row>
    <row r="45" spans="1:11" hidden="1" x14ac:dyDescent="0.25">
      <c r="A45" s="1" t="s">
        <v>319</v>
      </c>
      <c r="B45" s="4" t="s">
        <v>320</v>
      </c>
      <c r="C45" s="5">
        <v>-3.907435</v>
      </c>
      <c r="D45" s="5">
        <v>-40.881774999999998</v>
      </c>
      <c r="E45" s="4" t="s">
        <v>145</v>
      </c>
      <c r="F45" s="4" t="s">
        <v>321</v>
      </c>
      <c r="G45" s="4" t="s">
        <v>322</v>
      </c>
      <c r="H45" s="4" t="s">
        <v>323</v>
      </c>
      <c r="I45" s="4" t="s">
        <v>148</v>
      </c>
      <c r="J45" s="6" t="s">
        <v>783</v>
      </c>
      <c r="K45" s="6" t="s">
        <v>17</v>
      </c>
    </row>
    <row r="46" spans="1:11" hidden="1" x14ac:dyDescent="0.25">
      <c r="A46" s="1" t="s">
        <v>324</v>
      </c>
      <c r="B46" s="4" t="s">
        <v>325</v>
      </c>
      <c r="C46" s="5">
        <v>-4.5644640000000001</v>
      </c>
      <c r="D46" s="5">
        <v>-40.746068999999999</v>
      </c>
      <c r="E46" s="4" t="s">
        <v>86</v>
      </c>
      <c r="F46" s="4" t="s">
        <v>326</v>
      </c>
      <c r="G46" s="4" t="s">
        <v>327</v>
      </c>
      <c r="H46" s="4" t="s">
        <v>328</v>
      </c>
      <c r="I46" s="4" t="s">
        <v>100</v>
      </c>
      <c r="J46" s="6" t="s">
        <v>783</v>
      </c>
      <c r="K46" s="6" t="s">
        <v>17</v>
      </c>
    </row>
    <row r="47" spans="1:11" hidden="1" x14ac:dyDescent="0.25">
      <c r="A47" s="1" t="s">
        <v>329</v>
      </c>
      <c r="B47" s="4" t="s">
        <v>330</v>
      </c>
      <c r="C47" s="5">
        <v>-4.720345</v>
      </c>
      <c r="D47" s="5">
        <v>-37.548856999999998</v>
      </c>
      <c r="E47" s="4" t="s">
        <v>331</v>
      </c>
      <c r="F47" s="4" t="s">
        <v>332</v>
      </c>
      <c r="G47" s="4" t="s">
        <v>333</v>
      </c>
      <c r="H47" s="4" t="s">
        <v>334</v>
      </c>
      <c r="I47" s="4" t="s">
        <v>148</v>
      </c>
      <c r="J47" s="6" t="s">
        <v>783</v>
      </c>
      <c r="K47" s="6" t="s">
        <v>17</v>
      </c>
    </row>
    <row r="48" spans="1:11" hidden="1" x14ac:dyDescent="0.25">
      <c r="A48" s="1" t="s">
        <v>335</v>
      </c>
      <c r="B48" s="4" t="s">
        <v>336</v>
      </c>
      <c r="C48" s="5">
        <v>-4.8210379999999997</v>
      </c>
      <c r="D48" s="5">
        <v>-37.875945000000002</v>
      </c>
      <c r="E48" s="4" t="s">
        <v>337</v>
      </c>
      <c r="F48" s="4" t="s">
        <v>338</v>
      </c>
      <c r="G48" s="4" t="s">
        <v>339</v>
      </c>
      <c r="H48" s="4" t="s">
        <v>340</v>
      </c>
      <c r="I48" s="4" t="s">
        <v>100</v>
      </c>
      <c r="J48" s="6" t="s">
        <v>783</v>
      </c>
      <c r="K48" s="6" t="s">
        <v>17</v>
      </c>
    </row>
    <row r="49" spans="1:11" hidden="1" x14ac:dyDescent="0.25">
      <c r="A49" s="1" t="s">
        <v>126</v>
      </c>
      <c r="B49" s="4" t="s">
        <v>127</v>
      </c>
      <c r="C49" s="5">
        <v>-4.9633900000000004</v>
      </c>
      <c r="D49" s="5">
        <v>-39.039115000000002</v>
      </c>
      <c r="E49" s="4" t="s">
        <v>12</v>
      </c>
      <c r="F49" s="4" t="s">
        <v>128</v>
      </c>
      <c r="G49" s="4" t="s">
        <v>129</v>
      </c>
      <c r="H49" s="4" t="s">
        <v>130</v>
      </c>
      <c r="I49" s="4" t="s">
        <v>100</v>
      </c>
      <c r="J49" s="6" t="s">
        <v>783</v>
      </c>
      <c r="K49" s="6" t="s">
        <v>17</v>
      </c>
    </row>
    <row r="50" spans="1:11" hidden="1" x14ac:dyDescent="0.25">
      <c r="A50" s="1" t="s">
        <v>131</v>
      </c>
      <c r="B50" s="4" t="s">
        <v>132</v>
      </c>
      <c r="C50" s="5">
        <v>-5.194903</v>
      </c>
      <c r="D50" s="5">
        <v>-40.633378</v>
      </c>
      <c r="E50" s="4" t="s">
        <v>133</v>
      </c>
      <c r="F50" s="4" t="s">
        <v>134</v>
      </c>
      <c r="G50" s="4" t="s">
        <v>135</v>
      </c>
      <c r="H50" s="4" t="s">
        <v>136</v>
      </c>
      <c r="I50" s="4" t="s">
        <v>100</v>
      </c>
      <c r="J50" s="6" t="s">
        <v>783</v>
      </c>
      <c r="K50" s="6" t="s">
        <v>17</v>
      </c>
    </row>
    <row r="51" spans="1:11" hidden="1" x14ac:dyDescent="0.25">
      <c r="A51" s="1" t="s">
        <v>341</v>
      </c>
      <c r="B51" s="4" t="s">
        <v>342</v>
      </c>
      <c r="C51" s="5">
        <v>-4.702947</v>
      </c>
      <c r="D51" s="5">
        <v>-40.549087999999998</v>
      </c>
      <c r="E51" s="4" t="s">
        <v>12</v>
      </c>
      <c r="F51" s="4" t="s">
        <v>343</v>
      </c>
      <c r="G51" s="4" t="s">
        <v>344</v>
      </c>
      <c r="H51" s="4" t="s">
        <v>21</v>
      </c>
      <c r="I51" s="4" t="s">
        <v>148</v>
      </c>
      <c r="J51" s="6" t="s">
        <v>783</v>
      </c>
      <c r="K51" s="6" t="s">
        <v>17</v>
      </c>
    </row>
    <row r="52" spans="1:11" hidden="1" x14ac:dyDescent="0.25">
      <c r="A52" s="1" t="s">
        <v>345</v>
      </c>
      <c r="B52" s="4" t="s">
        <v>346</v>
      </c>
      <c r="C52" s="5">
        <v>-5.2215020000000001</v>
      </c>
      <c r="D52" s="5">
        <v>-37.892071000000001</v>
      </c>
      <c r="E52" s="4" t="s">
        <v>347</v>
      </c>
      <c r="F52" s="4" t="s">
        <v>348</v>
      </c>
      <c r="G52" s="4" t="s">
        <v>349</v>
      </c>
      <c r="H52" s="4" t="s">
        <v>350</v>
      </c>
      <c r="I52" s="4" t="s">
        <v>100</v>
      </c>
      <c r="J52" s="6" t="s">
        <v>783</v>
      </c>
      <c r="K52" s="6" t="s">
        <v>303</v>
      </c>
    </row>
    <row r="53" spans="1:11" hidden="1" x14ac:dyDescent="0.25">
      <c r="A53" s="1" t="s">
        <v>351</v>
      </c>
      <c r="B53" s="4" t="s">
        <v>352</v>
      </c>
      <c r="C53" s="5">
        <v>-5.2506180000000002</v>
      </c>
      <c r="D53" s="5">
        <v>-38.494636999999997</v>
      </c>
      <c r="E53" s="4" t="s">
        <v>353</v>
      </c>
      <c r="F53" s="4" t="s">
        <v>354</v>
      </c>
      <c r="G53" s="4" t="s">
        <v>26</v>
      </c>
      <c r="H53" s="4" t="s">
        <v>355</v>
      </c>
      <c r="I53" s="4" t="s">
        <v>100</v>
      </c>
      <c r="J53" s="6" t="s">
        <v>783</v>
      </c>
      <c r="K53" s="6" t="s">
        <v>17</v>
      </c>
    </row>
    <row r="54" spans="1:11" hidden="1" x14ac:dyDescent="0.25">
      <c r="A54" s="1" t="s">
        <v>356</v>
      </c>
      <c r="B54" s="4" t="s">
        <v>357</v>
      </c>
      <c r="C54" s="5">
        <v>-5.4016780000000004</v>
      </c>
      <c r="D54" s="5">
        <v>-38.569516999999998</v>
      </c>
      <c r="E54" s="4" t="s">
        <v>358</v>
      </c>
      <c r="F54" s="4" t="s">
        <v>359</v>
      </c>
      <c r="G54" s="4" t="s">
        <v>360</v>
      </c>
      <c r="H54" s="4" t="s">
        <v>361</v>
      </c>
      <c r="I54" s="4" t="s">
        <v>148</v>
      </c>
      <c r="J54" s="6" t="s">
        <v>783</v>
      </c>
      <c r="K54" s="6" t="s">
        <v>17</v>
      </c>
    </row>
    <row r="55" spans="1:11" hidden="1" x14ac:dyDescent="0.25">
      <c r="A55" s="1" t="s">
        <v>362</v>
      </c>
      <c r="B55" s="4" t="s">
        <v>363</v>
      </c>
      <c r="C55" s="5">
        <v>-5.9740679999999999</v>
      </c>
      <c r="D55" s="5">
        <v>-38.882722000000001</v>
      </c>
      <c r="E55" s="4" t="s">
        <v>364</v>
      </c>
      <c r="F55" s="4" t="s">
        <v>365</v>
      </c>
      <c r="G55" s="4" t="s">
        <v>366</v>
      </c>
      <c r="H55" s="4" t="s">
        <v>367</v>
      </c>
      <c r="I55" s="4" t="s">
        <v>148</v>
      </c>
      <c r="J55" s="6" t="s">
        <v>783</v>
      </c>
      <c r="K55" s="6" t="s">
        <v>17</v>
      </c>
    </row>
    <row r="56" spans="1:11" hidden="1" x14ac:dyDescent="0.25">
      <c r="A56" s="1" t="s">
        <v>137</v>
      </c>
      <c r="B56" s="4" t="s">
        <v>138</v>
      </c>
      <c r="C56" s="5">
        <v>-4.5740670000000003</v>
      </c>
      <c r="D56" s="5">
        <v>-37.736370999999998</v>
      </c>
      <c r="E56" s="4" t="s">
        <v>139</v>
      </c>
      <c r="F56" s="4" t="s">
        <v>140</v>
      </c>
      <c r="G56" s="4" t="s">
        <v>141</v>
      </c>
      <c r="H56" s="4" t="s">
        <v>142</v>
      </c>
      <c r="I56" s="4" t="s">
        <v>100</v>
      </c>
      <c r="J56" s="6" t="s">
        <v>783</v>
      </c>
      <c r="K56" s="6" t="s">
        <v>17</v>
      </c>
    </row>
    <row r="57" spans="1:11" hidden="1" x14ac:dyDescent="0.25">
      <c r="A57" s="1" t="s">
        <v>368</v>
      </c>
      <c r="B57" s="4" t="s">
        <v>369</v>
      </c>
      <c r="C57" s="5">
        <v>-3.569178</v>
      </c>
      <c r="D57" s="5">
        <v>-41.161022000000003</v>
      </c>
      <c r="E57" s="4" t="s">
        <v>768</v>
      </c>
      <c r="F57" s="4" t="s">
        <v>863</v>
      </c>
      <c r="G57" s="4" t="s">
        <v>864</v>
      </c>
      <c r="H57" s="4" t="s">
        <v>865</v>
      </c>
      <c r="I57" s="4" t="s">
        <v>148</v>
      </c>
      <c r="J57" s="6" t="s">
        <v>783</v>
      </c>
      <c r="K57" s="6" t="s">
        <v>17</v>
      </c>
    </row>
    <row r="58" spans="1:11" hidden="1" x14ac:dyDescent="0.25">
      <c r="A58" s="1" t="s">
        <v>370</v>
      </c>
      <c r="B58" s="4" t="s">
        <v>371</v>
      </c>
      <c r="C58" s="5">
        <v>-3.8472559999999998</v>
      </c>
      <c r="D58" s="5">
        <v>-40.655659</v>
      </c>
      <c r="E58" s="4" t="s">
        <v>372</v>
      </c>
      <c r="F58" s="4" t="s">
        <v>373</v>
      </c>
      <c r="G58" s="4" t="s">
        <v>374</v>
      </c>
      <c r="H58" s="4" t="s">
        <v>375</v>
      </c>
      <c r="I58" s="4" t="s">
        <v>148</v>
      </c>
      <c r="J58" s="6" t="s">
        <v>783</v>
      </c>
      <c r="K58" s="6" t="s">
        <v>17</v>
      </c>
    </row>
    <row r="59" spans="1:11" hidden="1" x14ac:dyDescent="0.25">
      <c r="A59" s="1" t="s">
        <v>143</v>
      </c>
      <c r="B59" s="4" t="s">
        <v>144</v>
      </c>
      <c r="C59" s="5">
        <v>-4.1389370000000003</v>
      </c>
      <c r="D59" s="5">
        <v>-38.266637000000003</v>
      </c>
      <c r="E59" s="4" t="s">
        <v>145</v>
      </c>
      <c r="F59" s="4" t="s">
        <v>146</v>
      </c>
      <c r="G59" s="4" t="s">
        <v>72</v>
      </c>
      <c r="H59" s="4" t="s">
        <v>147</v>
      </c>
      <c r="I59" s="4" t="s">
        <v>148</v>
      </c>
      <c r="J59" s="6" t="s">
        <v>783</v>
      </c>
      <c r="K59" s="6" t="s">
        <v>17</v>
      </c>
    </row>
    <row r="60" spans="1:11" hidden="1" x14ac:dyDescent="0.25">
      <c r="A60" s="1" t="s">
        <v>376</v>
      </c>
      <c r="B60" s="4" t="s">
        <v>377</v>
      </c>
      <c r="C60" s="5">
        <v>-3.9773689999999999</v>
      </c>
      <c r="D60" s="5">
        <v>-40.707929999999998</v>
      </c>
      <c r="E60" s="4" t="s">
        <v>372</v>
      </c>
      <c r="F60" s="4" t="s">
        <v>867</v>
      </c>
      <c r="G60" s="4" t="s">
        <v>503</v>
      </c>
      <c r="H60" s="4" t="s">
        <v>868</v>
      </c>
      <c r="I60" s="4" t="s">
        <v>148</v>
      </c>
      <c r="J60" s="6" t="s">
        <v>783</v>
      </c>
      <c r="K60" s="6" t="s">
        <v>17</v>
      </c>
    </row>
    <row r="61" spans="1:11" hidden="1" x14ac:dyDescent="0.25">
      <c r="A61" s="1" t="s">
        <v>379</v>
      </c>
      <c r="B61" s="4" t="s">
        <v>380</v>
      </c>
      <c r="C61" s="5">
        <v>-4.1675570000000004</v>
      </c>
      <c r="D61" s="5">
        <v>-40.952404999999999</v>
      </c>
      <c r="E61" s="4" t="s">
        <v>381</v>
      </c>
      <c r="F61" s="4" t="s">
        <v>382</v>
      </c>
      <c r="G61" s="4" t="s">
        <v>383</v>
      </c>
      <c r="H61" s="4" t="s">
        <v>384</v>
      </c>
      <c r="I61" s="4" t="s">
        <v>100</v>
      </c>
      <c r="J61" s="6" t="s">
        <v>783</v>
      </c>
      <c r="K61" s="6" t="s">
        <v>17</v>
      </c>
    </row>
    <row r="62" spans="1:11" hidden="1" x14ac:dyDescent="0.25">
      <c r="A62" s="1" t="s">
        <v>385</v>
      </c>
      <c r="B62" s="4" t="s">
        <v>386</v>
      </c>
      <c r="C62" s="5">
        <v>-4.0409189999999997</v>
      </c>
      <c r="D62" s="5">
        <v>-40.474586000000002</v>
      </c>
      <c r="E62" s="4" t="s">
        <v>387</v>
      </c>
      <c r="F62" s="4" t="s">
        <v>873</v>
      </c>
      <c r="G62" s="4" t="s">
        <v>872</v>
      </c>
      <c r="H62" s="4" t="s">
        <v>388</v>
      </c>
      <c r="I62" s="4" t="s">
        <v>148</v>
      </c>
      <c r="J62" s="6" t="s">
        <v>783</v>
      </c>
      <c r="K62" s="6" t="s">
        <v>17</v>
      </c>
    </row>
    <row r="63" spans="1:11" x14ac:dyDescent="0.25">
      <c r="A63" s="1" t="s">
        <v>389</v>
      </c>
      <c r="B63" s="4" t="s">
        <v>390</v>
      </c>
      <c r="C63" s="5">
        <v>-3.5262289999999998</v>
      </c>
      <c r="D63" s="5">
        <v>-39.072856000000002</v>
      </c>
      <c r="E63" s="4" t="s">
        <v>269</v>
      </c>
      <c r="F63" s="4" t="s">
        <v>391</v>
      </c>
      <c r="G63" s="4" t="s">
        <v>392</v>
      </c>
      <c r="H63" s="4" t="s">
        <v>393</v>
      </c>
      <c r="I63" s="4" t="s">
        <v>100</v>
      </c>
      <c r="J63" s="6" t="s">
        <v>783</v>
      </c>
      <c r="K63" s="6" t="s">
        <v>17</v>
      </c>
    </row>
    <row r="64" spans="1:11" x14ac:dyDescent="0.25">
      <c r="A64" s="1" t="s">
        <v>394</v>
      </c>
      <c r="B64" s="4" t="s">
        <v>395</v>
      </c>
      <c r="C64" s="5">
        <v>-3.5535730000000001</v>
      </c>
      <c r="D64" s="5">
        <v>-38.884430000000002</v>
      </c>
      <c r="E64" s="4" t="s">
        <v>396</v>
      </c>
      <c r="F64" s="4" t="s">
        <v>397</v>
      </c>
      <c r="G64" s="4" t="s">
        <v>398</v>
      </c>
      <c r="H64" s="4" t="s">
        <v>399</v>
      </c>
      <c r="I64" s="4" t="s">
        <v>148</v>
      </c>
      <c r="J64" s="6" t="s">
        <v>783</v>
      </c>
      <c r="K64" s="6" t="s">
        <v>17</v>
      </c>
    </row>
    <row r="65" spans="1:11" hidden="1" x14ac:dyDescent="0.25">
      <c r="A65" s="1" t="s">
        <v>400</v>
      </c>
      <c r="B65" s="4" t="s">
        <v>401</v>
      </c>
      <c r="C65" s="5">
        <v>-3.2705820000000001</v>
      </c>
      <c r="D65" s="5">
        <v>-39.915233000000001</v>
      </c>
      <c r="E65" s="4" t="s">
        <v>402</v>
      </c>
      <c r="F65" s="4" t="s">
        <v>403</v>
      </c>
      <c r="G65" s="4" t="s">
        <v>404</v>
      </c>
      <c r="H65" s="4" t="s">
        <v>405</v>
      </c>
      <c r="I65" s="4" t="s">
        <v>100</v>
      </c>
      <c r="J65" s="6" t="s">
        <v>783</v>
      </c>
      <c r="K65" s="6" t="s">
        <v>17</v>
      </c>
    </row>
    <row r="66" spans="1:11" hidden="1" x14ac:dyDescent="0.25">
      <c r="A66" s="1" t="s">
        <v>406</v>
      </c>
      <c r="B66" s="4" t="s">
        <v>407</v>
      </c>
      <c r="C66" s="5">
        <v>-3.512756</v>
      </c>
      <c r="D66" s="5">
        <v>-39.583770999999999</v>
      </c>
      <c r="E66" s="4" t="s">
        <v>263</v>
      </c>
      <c r="F66" s="4" t="s">
        <v>408</v>
      </c>
      <c r="G66" s="4" t="s">
        <v>409</v>
      </c>
      <c r="H66" s="4" t="s">
        <v>410</v>
      </c>
      <c r="I66" s="4" t="s">
        <v>100</v>
      </c>
      <c r="J66" s="6" t="s">
        <v>783</v>
      </c>
      <c r="K66" s="6" t="s">
        <v>17</v>
      </c>
    </row>
    <row r="67" spans="1:11" hidden="1" x14ac:dyDescent="0.25">
      <c r="A67" s="1" t="s">
        <v>411</v>
      </c>
      <c r="B67" s="4" t="s">
        <v>412</v>
      </c>
      <c r="C67" s="5">
        <v>-3.6566749999999999</v>
      </c>
      <c r="D67" s="5">
        <v>-39.424249000000003</v>
      </c>
      <c r="E67" s="4" t="s">
        <v>413</v>
      </c>
      <c r="F67" s="4" t="s">
        <v>414</v>
      </c>
      <c r="G67" s="4" t="s">
        <v>415</v>
      </c>
      <c r="H67" s="4" t="s">
        <v>416</v>
      </c>
      <c r="I67" s="4" t="s">
        <v>100</v>
      </c>
      <c r="J67" s="6" t="s">
        <v>783</v>
      </c>
      <c r="K67" s="6" t="s">
        <v>17</v>
      </c>
    </row>
    <row r="68" spans="1:11" hidden="1" x14ac:dyDescent="0.25">
      <c r="A68" s="1" t="s">
        <v>417</v>
      </c>
      <c r="B68" s="4" t="s">
        <v>418</v>
      </c>
      <c r="C68" s="5">
        <v>-4.290178</v>
      </c>
      <c r="D68" s="5">
        <v>-38.624884999999999</v>
      </c>
      <c r="E68" s="4" t="s">
        <v>402</v>
      </c>
      <c r="F68" s="4" t="s">
        <v>419</v>
      </c>
      <c r="G68" s="4" t="s">
        <v>420</v>
      </c>
      <c r="H68" s="4" t="s">
        <v>421</v>
      </c>
      <c r="I68" s="4" t="s">
        <v>16</v>
      </c>
      <c r="J68" s="6" t="s">
        <v>783</v>
      </c>
      <c r="K68" s="6" t="s">
        <v>17</v>
      </c>
    </row>
    <row r="69" spans="1:11" hidden="1" x14ac:dyDescent="0.25">
      <c r="A69" s="1" t="s">
        <v>422</v>
      </c>
      <c r="B69" s="4" t="s">
        <v>423</v>
      </c>
      <c r="C69" s="5">
        <v>-4.3755519999999999</v>
      </c>
      <c r="D69" s="5">
        <v>-38.834249999999997</v>
      </c>
      <c r="E69" s="4" t="s">
        <v>226</v>
      </c>
      <c r="F69" s="4" t="s">
        <v>424</v>
      </c>
      <c r="G69" s="4" t="s">
        <v>229</v>
      </c>
      <c r="H69" s="4" t="s">
        <v>425</v>
      </c>
      <c r="I69" s="4" t="s">
        <v>100</v>
      </c>
      <c r="J69" s="6" t="s">
        <v>783</v>
      </c>
      <c r="K69" s="6" t="s">
        <v>17</v>
      </c>
    </row>
    <row r="70" spans="1:11" hidden="1" x14ac:dyDescent="0.25">
      <c r="A70" s="1" t="s">
        <v>426</v>
      </c>
      <c r="B70" s="4" t="s">
        <v>427</v>
      </c>
      <c r="C70" s="5">
        <v>-5.041658</v>
      </c>
      <c r="D70" s="5">
        <v>-37.779488000000001</v>
      </c>
      <c r="E70" s="4" t="s">
        <v>226</v>
      </c>
      <c r="F70" s="4" t="s">
        <v>428</v>
      </c>
      <c r="G70" s="4" t="s">
        <v>429</v>
      </c>
      <c r="H70" s="4" t="s">
        <v>430</v>
      </c>
      <c r="I70" s="4" t="s">
        <v>148</v>
      </c>
      <c r="J70" s="6" t="s">
        <v>783</v>
      </c>
      <c r="K70" s="6" t="s">
        <v>17</v>
      </c>
    </row>
    <row r="71" spans="1:11" hidden="1" x14ac:dyDescent="0.25">
      <c r="A71" s="1" t="s">
        <v>431</v>
      </c>
      <c r="B71" s="4" t="s">
        <v>432</v>
      </c>
      <c r="C71" s="5">
        <v>-5.2738310000000004</v>
      </c>
      <c r="D71" s="5">
        <v>-38.108522000000001</v>
      </c>
      <c r="E71" s="4" t="s">
        <v>433</v>
      </c>
      <c r="F71" s="4" t="s">
        <v>434</v>
      </c>
      <c r="G71" s="4" t="s">
        <v>435</v>
      </c>
      <c r="H71" s="4" t="s">
        <v>436</v>
      </c>
      <c r="I71" s="4" t="s">
        <v>100</v>
      </c>
      <c r="J71" s="6" t="s">
        <v>783</v>
      </c>
      <c r="K71" s="6" t="s">
        <v>17</v>
      </c>
    </row>
    <row r="72" spans="1:11" hidden="1" x14ac:dyDescent="0.25">
      <c r="A72" s="1" t="s">
        <v>437</v>
      </c>
      <c r="B72" s="4" t="s">
        <v>438</v>
      </c>
      <c r="C72" s="5">
        <v>-3.7851759999999999</v>
      </c>
      <c r="D72" s="5">
        <v>-38.696210999999998</v>
      </c>
      <c r="E72" s="4" t="s">
        <v>96</v>
      </c>
      <c r="F72" s="4" t="s">
        <v>439</v>
      </c>
      <c r="G72" s="4" t="s">
        <v>440</v>
      </c>
      <c r="H72" s="4" t="s">
        <v>441</v>
      </c>
      <c r="I72" s="4" t="s">
        <v>100</v>
      </c>
      <c r="J72" s="6" t="s">
        <v>783</v>
      </c>
      <c r="K72" s="6" t="s">
        <v>17</v>
      </c>
    </row>
    <row r="73" spans="1:11" hidden="1" x14ac:dyDescent="0.25">
      <c r="A73" s="1" t="s">
        <v>442</v>
      </c>
      <c r="B73" s="4" t="s">
        <v>443</v>
      </c>
      <c r="C73" s="5">
        <v>-3.133448</v>
      </c>
      <c r="D73" s="5">
        <v>-40.815766000000004</v>
      </c>
      <c r="E73" s="4" t="s">
        <v>232</v>
      </c>
      <c r="F73" s="4" t="s">
        <v>444</v>
      </c>
      <c r="G73" s="4" t="s">
        <v>445</v>
      </c>
      <c r="H73" s="4" t="s">
        <v>446</v>
      </c>
      <c r="I73" s="4" t="s">
        <v>100</v>
      </c>
      <c r="J73" s="6" t="s">
        <v>783</v>
      </c>
      <c r="K73" s="6" t="s">
        <v>17</v>
      </c>
    </row>
    <row r="74" spans="1:11" hidden="1" x14ac:dyDescent="0.25">
      <c r="A74" s="1" t="s">
        <v>447</v>
      </c>
      <c r="B74" s="4" t="s">
        <v>448</v>
      </c>
      <c r="C74" s="5">
        <v>-3.6184599999999998</v>
      </c>
      <c r="D74" s="5">
        <v>-40.352547000000001</v>
      </c>
      <c r="E74" s="4" t="s">
        <v>232</v>
      </c>
      <c r="F74" s="4" t="s">
        <v>449</v>
      </c>
      <c r="G74" s="4" t="s">
        <v>450</v>
      </c>
      <c r="H74" s="4" t="s">
        <v>451</v>
      </c>
      <c r="I74" s="4" t="s">
        <v>100</v>
      </c>
      <c r="J74" s="6" t="s">
        <v>783</v>
      </c>
      <c r="K74" s="6" t="s">
        <v>17</v>
      </c>
    </row>
    <row r="75" spans="1:11" hidden="1" x14ac:dyDescent="0.25">
      <c r="A75" s="1" t="s">
        <v>452</v>
      </c>
      <c r="B75" s="4" t="s">
        <v>453</v>
      </c>
      <c r="C75" s="5">
        <v>-3.9919730000000002</v>
      </c>
      <c r="D75" s="5">
        <v>-40.083334000000001</v>
      </c>
      <c r="E75" s="4" t="s">
        <v>232</v>
      </c>
      <c r="F75" s="4" t="s">
        <v>869</v>
      </c>
      <c r="G75" s="4" t="s">
        <v>870</v>
      </c>
      <c r="H75" s="4" t="s">
        <v>871</v>
      </c>
      <c r="I75" s="4" t="s">
        <v>148</v>
      </c>
      <c r="J75" s="6" t="s">
        <v>783</v>
      </c>
      <c r="K75" s="6" t="s">
        <v>17</v>
      </c>
    </row>
    <row r="76" spans="1:11" hidden="1" x14ac:dyDescent="0.25">
      <c r="A76" s="1" t="s">
        <v>454</v>
      </c>
      <c r="B76" s="4" t="s">
        <v>455</v>
      </c>
      <c r="C76" s="5">
        <v>-5.6781480000000002</v>
      </c>
      <c r="D76" s="5">
        <v>-39.430067000000001</v>
      </c>
      <c r="E76" s="4" t="s">
        <v>194</v>
      </c>
      <c r="F76" s="4" t="s">
        <v>816</v>
      </c>
      <c r="G76" s="4" t="s">
        <v>817</v>
      </c>
      <c r="H76" s="4" t="s">
        <v>818</v>
      </c>
      <c r="I76" s="4" t="s">
        <v>100</v>
      </c>
      <c r="J76" s="6" t="s">
        <v>783</v>
      </c>
      <c r="K76" s="6" t="s">
        <v>17</v>
      </c>
    </row>
    <row r="77" spans="1:11" hidden="1" x14ac:dyDescent="0.25">
      <c r="A77" s="1" t="s">
        <v>458</v>
      </c>
      <c r="B77" s="4" t="s">
        <v>459</v>
      </c>
      <c r="C77" s="5">
        <v>-3.3702869999999998</v>
      </c>
      <c r="D77" s="5">
        <v>-40.723520000000001</v>
      </c>
      <c r="E77" s="4" t="s">
        <v>460</v>
      </c>
      <c r="F77" s="4" t="s">
        <v>461</v>
      </c>
      <c r="G77" s="4" t="s">
        <v>462</v>
      </c>
      <c r="H77" s="4" t="s">
        <v>463</v>
      </c>
      <c r="I77" s="4" t="s">
        <v>100</v>
      </c>
      <c r="J77" s="6" t="s">
        <v>783</v>
      </c>
      <c r="K77" s="6" t="s">
        <v>17</v>
      </c>
    </row>
    <row r="78" spans="1:11" hidden="1" x14ac:dyDescent="0.25">
      <c r="A78" s="1" t="s">
        <v>464</v>
      </c>
      <c r="B78" s="4" t="s">
        <v>465</v>
      </c>
      <c r="C78" s="5">
        <v>-3.5688710000000001</v>
      </c>
      <c r="D78" s="5">
        <v>-40.636719999999997</v>
      </c>
      <c r="E78" s="4" t="s">
        <v>460</v>
      </c>
      <c r="F78" s="4" t="s">
        <v>466</v>
      </c>
      <c r="G78" s="4" t="s">
        <v>467</v>
      </c>
      <c r="H78" s="4" t="s">
        <v>374</v>
      </c>
      <c r="I78" s="4" t="s">
        <v>100</v>
      </c>
      <c r="J78" s="6" t="s">
        <v>783</v>
      </c>
      <c r="K78" s="6" t="s">
        <v>17</v>
      </c>
    </row>
    <row r="79" spans="1:11" hidden="1" x14ac:dyDescent="0.25">
      <c r="A79" s="1" t="s">
        <v>468</v>
      </c>
      <c r="B79" s="4" t="s">
        <v>469</v>
      </c>
      <c r="C79" s="5">
        <v>-4.7611049999999997</v>
      </c>
      <c r="D79" s="5">
        <v>-39.487011000000003</v>
      </c>
      <c r="E79" s="4" t="s">
        <v>470</v>
      </c>
      <c r="F79" s="4" t="s">
        <v>471</v>
      </c>
      <c r="G79" s="4" t="s">
        <v>472</v>
      </c>
      <c r="H79" s="4" t="s">
        <v>473</v>
      </c>
      <c r="I79" s="4" t="s">
        <v>100</v>
      </c>
      <c r="J79" s="6" t="s">
        <v>783</v>
      </c>
      <c r="K79" s="6" t="s">
        <v>17</v>
      </c>
    </row>
    <row r="80" spans="1:11" hidden="1" x14ac:dyDescent="0.25">
      <c r="A80" s="1" t="s">
        <v>149</v>
      </c>
      <c r="B80" s="4" t="s">
        <v>150</v>
      </c>
      <c r="C80" s="5">
        <v>-5.0822029999999998</v>
      </c>
      <c r="D80" s="5">
        <v>-39.054245999999999</v>
      </c>
      <c r="E80" s="4" t="s">
        <v>151</v>
      </c>
      <c r="F80" s="4" t="s">
        <v>152</v>
      </c>
      <c r="G80" s="4" t="s">
        <v>153</v>
      </c>
      <c r="H80" s="4" t="s">
        <v>154</v>
      </c>
      <c r="I80" s="4" t="s">
        <v>100</v>
      </c>
      <c r="J80" s="6" t="s">
        <v>783</v>
      </c>
      <c r="K80" s="6" t="s">
        <v>17</v>
      </c>
    </row>
    <row r="81" spans="1:11" hidden="1" x14ac:dyDescent="0.25">
      <c r="A81" s="1" t="s">
        <v>474</v>
      </c>
      <c r="B81" s="4" t="s">
        <v>475</v>
      </c>
      <c r="C81" s="5">
        <v>-5.4022300000000003</v>
      </c>
      <c r="D81" s="5">
        <v>-38.571371999999997</v>
      </c>
      <c r="E81" s="4" t="s">
        <v>476</v>
      </c>
      <c r="F81" s="4" t="s">
        <v>477</v>
      </c>
      <c r="G81" s="4" t="s">
        <v>478</v>
      </c>
      <c r="H81" s="4" t="s">
        <v>479</v>
      </c>
      <c r="I81" s="4" t="s">
        <v>100</v>
      </c>
      <c r="J81" s="6" t="s">
        <v>783</v>
      </c>
      <c r="K81" s="6" t="s">
        <v>17</v>
      </c>
    </row>
    <row r="82" spans="1:11" hidden="1" x14ac:dyDescent="0.25">
      <c r="A82" s="1" t="s">
        <v>480</v>
      </c>
      <c r="B82" s="4" t="s">
        <v>481</v>
      </c>
      <c r="C82" s="5">
        <v>-5.7358440000000002</v>
      </c>
      <c r="D82" s="5">
        <v>-39.026054000000002</v>
      </c>
      <c r="E82" s="4" t="s">
        <v>133</v>
      </c>
      <c r="F82" s="4" t="s">
        <v>829</v>
      </c>
      <c r="G82" s="4" t="s">
        <v>483</v>
      </c>
      <c r="H82" s="4" t="s">
        <v>484</v>
      </c>
      <c r="I82" s="4" t="s">
        <v>100</v>
      </c>
      <c r="J82" s="6" t="s">
        <v>783</v>
      </c>
      <c r="K82" s="6" t="s">
        <v>17</v>
      </c>
    </row>
    <row r="83" spans="1:11" hidden="1" x14ac:dyDescent="0.25">
      <c r="A83" s="1" t="s">
        <v>485</v>
      </c>
      <c r="B83" s="4" t="s">
        <v>486</v>
      </c>
      <c r="C83" s="5">
        <v>-5.6845759999999999</v>
      </c>
      <c r="D83" s="5">
        <v>-39.195397</v>
      </c>
      <c r="E83" s="4" t="s">
        <v>133</v>
      </c>
      <c r="F83" s="4" t="s">
        <v>487</v>
      </c>
      <c r="G83" s="4" t="s">
        <v>484</v>
      </c>
      <c r="H83" s="4" t="s">
        <v>830</v>
      </c>
      <c r="I83" s="4" t="s">
        <v>100</v>
      </c>
      <c r="J83" s="6" t="s">
        <v>783</v>
      </c>
      <c r="K83" s="6" t="s">
        <v>17</v>
      </c>
    </row>
    <row r="84" spans="1:11" hidden="1" x14ac:dyDescent="0.25">
      <c r="A84" s="1" t="s">
        <v>488</v>
      </c>
      <c r="B84" s="4" t="s">
        <v>489</v>
      </c>
      <c r="C84" s="5">
        <v>-5.0848469999999999</v>
      </c>
      <c r="D84" s="5">
        <v>-38.009757</v>
      </c>
      <c r="E84" s="4" t="s">
        <v>490</v>
      </c>
      <c r="F84" s="4" t="s">
        <v>491</v>
      </c>
      <c r="G84" s="4" t="s">
        <v>492</v>
      </c>
      <c r="H84" s="4" t="s">
        <v>493</v>
      </c>
      <c r="I84" s="4" t="s">
        <v>100</v>
      </c>
      <c r="J84" s="6" t="s">
        <v>783</v>
      </c>
      <c r="K84" s="6" t="s">
        <v>17</v>
      </c>
    </row>
    <row r="85" spans="1:11" hidden="1" x14ac:dyDescent="0.25">
      <c r="A85" s="1" t="s">
        <v>494</v>
      </c>
      <c r="B85" s="4" t="s">
        <v>495</v>
      </c>
      <c r="C85" s="5">
        <v>-5.2461500000000001</v>
      </c>
      <c r="D85" s="5">
        <v>-38.214409000000003</v>
      </c>
      <c r="E85" s="4" t="s">
        <v>490</v>
      </c>
      <c r="F85" s="4" t="s">
        <v>496</v>
      </c>
      <c r="G85" s="4" t="s">
        <v>497</v>
      </c>
      <c r="H85" s="4" t="s">
        <v>498</v>
      </c>
      <c r="I85" s="4" t="s">
        <v>100</v>
      </c>
      <c r="J85" s="6" t="s">
        <v>783</v>
      </c>
      <c r="K85" s="6" t="s">
        <v>17</v>
      </c>
    </row>
    <row r="86" spans="1:11" hidden="1" x14ac:dyDescent="0.25">
      <c r="A86" s="1" t="s">
        <v>155</v>
      </c>
      <c r="B86" s="4" t="s">
        <v>156</v>
      </c>
      <c r="C86" s="5">
        <v>-5.2102599999999999</v>
      </c>
      <c r="D86" s="5">
        <v>-39.316634000000001</v>
      </c>
      <c r="E86" s="4" t="s">
        <v>75</v>
      </c>
      <c r="F86" s="4" t="s">
        <v>157</v>
      </c>
      <c r="G86" s="4" t="s">
        <v>158</v>
      </c>
      <c r="H86" s="4" t="s">
        <v>159</v>
      </c>
      <c r="I86" s="4" t="s">
        <v>148</v>
      </c>
      <c r="J86" s="6" t="s">
        <v>783</v>
      </c>
      <c r="K86" s="6" t="s">
        <v>17</v>
      </c>
    </row>
    <row r="87" spans="1:11" hidden="1" x14ac:dyDescent="0.25">
      <c r="A87" s="1" t="s">
        <v>499</v>
      </c>
      <c r="B87" s="4" t="s">
        <v>500</v>
      </c>
      <c r="C87" s="5">
        <v>-3.9736150000000001</v>
      </c>
      <c r="D87" s="5">
        <v>-40.704729</v>
      </c>
      <c r="E87" s="4" t="s">
        <v>372</v>
      </c>
      <c r="F87" s="4" t="s">
        <v>501</v>
      </c>
      <c r="G87" s="4" t="s">
        <v>502</v>
      </c>
      <c r="H87" s="4" t="s">
        <v>503</v>
      </c>
      <c r="I87" s="4" t="s">
        <v>148</v>
      </c>
      <c r="J87" s="6" t="s">
        <v>783</v>
      </c>
      <c r="K87" s="6" t="s">
        <v>17</v>
      </c>
    </row>
    <row r="88" spans="1:11" hidden="1" x14ac:dyDescent="0.25">
      <c r="A88" s="1" t="s">
        <v>504</v>
      </c>
      <c r="B88" s="4" t="s">
        <v>505</v>
      </c>
      <c r="C88" s="5">
        <v>-3.956655</v>
      </c>
      <c r="D88" s="5">
        <v>-38.350233000000003</v>
      </c>
      <c r="E88" s="4" t="s">
        <v>506</v>
      </c>
      <c r="F88" s="4" t="s">
        <v>507</v>
      </c>
      <c r="G88" s="4" t="s">
        <v>508</v>
      </c>
      <c r="H88" s="4" t="s">
        <v>509</v>
      </c>
      <c r="I88" s="4" t="s">
        <v>100</v>
      </c>
      <c r="J88" s="6" t="s">
        <v>783</v>
      </c>
      <c r="K88" s="6" t="s">
        <v>17</v>
      </c>
    </row>
    <row r="89" spans="1:11" hidden="1" x14ac:dyDescent="0.25">
      <c r="A89" s="1" t="s">
        <v>510</v>
      </c>
      <c r="B89" s="4" t="s">
        <v>511</v>
      </c>
      <c r="C89" s="5">
        <v>-4.0347569999999999</v>
      </c>
      <c r="D89" s="5">
        <v>-38.240461000000003</v>
      </c>
      <c r="E89" s="4" t="s">
        <v>512</v>
      </c>
      <c r="F89" s="4" t="s">
        <v>513</v>
      </c>
      <c r="G89" s="4" t="s">
        <v>514</v>
      </c>
      <c r="H89" s="4" t="s">
        <v>515</v>
      </c>
      <c r="I89" s="4" t="s">
        <v>148</v>
      </c>
      <c r="J89" s="6" t="s">
        <v>783</v>
      </c>
      <c r="K89" s="6" t="s">
        <v>17</v>
      </c>
    </row>
    <row r="90" spans="1:11" hidden="1" x14ac:dyDescent="0.25">
      <c r="A90" s="1" t="s">
        <v>160</v>
      </c>
      <c r="B90" s="4" t="s">
        <v>161</v>
      </c>
      <c r="C90" s="5">
        <v>-4.8596729999999999</v>
      </c>
      <c r="D90" s="5">
        <v>-39.052987999999999</v>
      </c>
      <c r="E90" s="4" t="s">
        <v>162</v>
      </c>
      <c r="F90" s="4" t="s">
        <v>163</v>
      </c>
      <c r="G90" s="4" t="s">
        <v>164</v>
      </c>
      <c r="H90" s="4" t="s">
        <v>165</v>
      </c>
      <c r="I90" s="4" t="s">
        <v>148</v>
      </c>
      <c r="J90" s="6" t="s">
        <v>783</v>
      </c>
      <c r="K90" s="6" t="s">
        <v>17</v>
      </c>
    </row>
    <row r="91" spans="1:11" hidden="1" x14ac:dyDescent="0.25">
      <c r="A91" s="1" t="s">
        <v>516</v>
      </c>
      <c r="B91" s="4" t="s">
        <v>517</v>
      </c>
      <c r="C91" s="5">
        <v>-4.4447369999999999</v>
      </c>
      <c r="D91" s="5">
        <v>-38.662745999999999</v>
      </c>
      <c r="E91" s="4" t="s">
        <v>518</v>
      </c>
      <c r="F91" s="4" t="s">
        <v>519</v>
      </c>
      <c r="G91" s="4" t="s">
        <v>520</v>
      </c>
      <c r="H91" s="4" t="s">
        <v>521</v>
      </c>
      <c r="I91" s="4" t="s">
        <v>100</v>
      </c>
      <c r="J91" s="6" t="s">
        <v>783</v>
      </c>
      <c r="K91" s="6" t="s">
        <v>17</v>
      </c>
    </row>
    <row r="92" spans="1:11" hidden="1" x14ac:dyDescent="0.25">
      <c r="A92" s="1" t="s">
        <v>522</v>
      </c>
      <c r="B92" s="4" t="s">
        <v>523</v>
      </c>
      <c r="C92" s="5">
        <v>-5.1705110000000003</v>
      </c>
      <c r="D92" s="5">
        <v>-40.708150000000003</v>
      </c>
      <c r="E92" s="4" t="s">
        <v>524</v>
      </c>
      <c r="F92" s="4" t="s">
        <v>525</v>
      </c>
      <c r="G92" s="4" t="s">
        <v>526</v>
      </c>
      <c r="H92" s="4" t="s">
        <v>527</v>
      </c>
      <c r="I92" s="4" t="s">
        <v>100</v>
      </c>
      <c r="J92" s="6" t="s">
        <v>783</v>
      </c>
      <c r="K92" s="6" t="s">
        <v>17</v>
      </c>
    </row>
    <row r="93" spans="1:11" hidden="1" x14ac:dyDescent="0.25">
      <c r="A93" s="1" t="s">
        <v>528</v>
      </c>
      <c r="B93" s="4" t="s">
        <v>529</v>
      </c>
      <c r="C93" s="5">
        <v>-4.5701270000000003</v>
      </c>
      <c r="D93" s="5">
        <v>-37.734988999999999</v>
      </c>
      <c r="E93" s="4" t="s">
        <v>476</v>
      </c>
      <c r="F93" s="4" t="s">
        <v>530</v>
      </c>
      <c r="G93" s="4" t="s">
        <v>531</v>
      </c>
      <c r="H93" s="4" t="s">
        <v>532</v>
      </c>
      <c r="I93" s="4" t="s">
        <v>100</v>
      </c>
      <c r="J93" s="6" t="s">
        <v>783</v>
      </c>
      <c r="K93" s="6" t="s">
        <v>17</v>
      </c>
    </row>
    <row r="94" spans="1:11" hidden="1" x14ac:dyDescent="0.25">
      <c r="A94" s="1" t="s">
        <v>533</v>
      </c>
      <c r="B94" s="4" t="s">
        <v>534</v>
      </c>
      <c r="C94" s="5">
        <v>-5.1157560000000002</v>
      </c>
      <c r="D94" s="5">
        <v>-39.759453000000001</v>
      </c>
      <c r="E94" s="4" t="s">
        <v>353</v>
      </c>
      <c r="F94" s="4" t="s">
        <v>535</v>
      </c>
      <c r="G94" s="4" t="s">
        <v>536</v>
      </c>
      <c r="H94" s="4" t="s">
        <v>537</v>
      </c>
      <c r="I94" s="4" t="s">
        <v>100</v>
      </c>
      <c r="J94" s="6" t="s">
        <v>783</v>
      </c>
      <c r="K94" s="6" t="s">
        <v>17</v>
      </c>
    </row>
    <row r="95" spans="1:11" hidden="1" x14ac:dyDescent="0.25">
      <c r="A95" s="1" t="s">
        <v>166</v>
      </c>
      <c r="B95" s="4" t="s">
        <v>167</v>
      </c>
      <c r="C95" s="5">
        <v>-5.1756060000000002</v>
      </c>
      <c r="D95" s="5">
        <v>-39.305515999999997</v>
      </c>
      <c r="E95" s="4" t="s">
        <v>194</v>
      </c>
      <c r="F95" s="4" t="s">
        <v>831</v>
      </c>
      <c r="G95" s="4" t="s">
        <v>129</v>
      </c>
      <c r="H95" s="4" t="s">
        <v>832</v>
      </c>
      <c r="I95" s="4" t="s">
        <v>148</v>
      </c>
      <c r="J95" s="6" t="s">
        <v>783</v>
      </c>
      <c r="K95" s="6" t="s">
        <v>17</v>
      </c>
    </row>
    <row r="96" spans="1:11" hidden="1" x14ac:dyDescent="0.25">
      <c r="A96" s="1" t="s">
        <v>538</v>
      </c>
      <c r="B96" s="4" t="s">
        <v>539</v>
      </c>
      <c r="C96" s="5">
        <v>-3.6776800000000001</v>
      </c>
      <c r="D96" s="25">
        <v>-38.859572</v>
      </c>
      <c r="E96" s="4" t="s">
        <v>41</v>
      </c>
      <c r="F96" s="4" t="s">
        <v>540</v>
      </c>
      <c r="G96" s="4" t="s">
        <v>296</v>
      </c>
      <c r="H96" s="4" t="s">
        <v>541</v>
      </c>
      <c r="I96" s="4" t="s">
        <v>100</v>
      </c>
      <c r="J96" s="6" t="s">
        <v>783</v>
      </c>
      <c r="K96" s="6" t="s">
        <v>175</v>
      </c>
    </row>
    <row r="97" spans="1:11" hidden="1" x14ac:dyDescent="0.25">
      <c r="A97" s="1" t="s">
        <v>542</v>
      </c>
      <c r="B97" s="4" t="s">
        <v>543</v>
      </c>
      <c r="C97" s="5">
        <v>-3.6978119999999999</v>
      </c>
      <c r="D97" s="5">
        <v>-40.307443999999997</v>
      </c>
      <c r="E97" s="4" t="s">
        <v>544</v>
      </c>
      <c r="F97" s="4" t="s">
        <v>545</v>
      </c>
      <c r="G97" s="4" t="s">
        <v>546</v>
      </c>
      <c r="H97" s="4" t="s">
        <v>547</v>
      </c>
      <c r="I97" s="4" t="s">
        <v>148</v>
      </c>
      <c r="J97" s="6" t="s">
        <v>783</v>
      </c>
      <c r="K97" s="6" t="s">
        <v>17</v>
      </c>
    </row>
    <row r="98" spans="1:11" hidden="1" x14ac:dyDescent="0.25">
      <c r="A98" s="1" t="s">
        <v>548</v>
      </c>
      <c r="B98" s="4" t="s">
        <v>549</v>
      </c>
      <c r="C98" s="5">
        <v>-5.2113269999999998</v>
      </c>
      <c r="D98" s="5">
        <v>-40.696823000000002</v>
      </c>
      <c r="E98" s="4" t="s">
        <v>205</v>
      </c>
      <c r="F98" s="4" t="s">
        <v>550</v>
      </c>
      <c r="G98" s="4" t="s">
        <v>551</v>
      </c>
      <c r="H98" s="4" t="s">
        <v>552</v>
      </c>
      <c r="I98" s="4" t="s">
        <v>100</v>
      </c>
      <c r="J98" s="6" t="s">
        <v>783</v>
      </c>
      <c r="K98" s="6" t="s">
        <v>17</v>
      </c>
    </row>
    <row r="99" spans="1:11" hidden="1" x14ac:dyDescent="0.25">
      <c r="A99" s="1" t="s">
        <v>553</v>
      </c>
      <c r="B99" s="4" t="s">
        <v>554</v>
      </c>
      <c r="C99" s="5">
        <v>-4.3822749999999999</v>
      </c>
      <c r="D99" s="5">
        <v>-40.712611000000003</v>
      </c>
      <c r="E99" s="4" t="s">
        <v>205</v>
      </c>
      <c r="F99" s="4" t="s">
        <v>555</v>
      </c>
      <c r="G99" s="4" t="s">
        <v>556</v>
      </c>
      <c r="H99" s="4" t="s">
        <v>557</v>
      </c>
      <c r="I99" s="4" t="s">
        <v>148</v>
      </c>
      <c r="J99" s="6" t="s">
        <v>783</v>
      </c>
      <c r="K99" s="6" t="s">
        <v>17</v>
      </c>
    </row>
    <row r="100" spans="1:11" hidden="1" x14ac:dyDescent="0.25">
      <c r="A100" s="1" t="s">
        <v>558</v>
      </c>
      <c r="B100" s="4" t="s">
        <v>559</v>
      </c>
      <c r="C100" s="5">
        <v>-6.0284909999999998</v>
      </c>
      <c r="D100" s="5">
        <v>-38.334944</v>
      </c>
      <c r="E100" s="4" t="s">
        <v>560</v>
      </c>
      <c r="F100" s="4" t="s">
        <v>561</v>
      </c>
      <c r="G100" s="4" t="s">
        <v>562</v>
      </c>
      <c r="H100" s="4" t="s">
        <v>563</v>
      </c>
      <c r="I100" s="4" t="s">
        <v>100</v>
      </c>
      <c r="J100" s="6" t="s">
        <v>783</v>
      </c>
      <c r="K100" s="6" t="s">
        <v>17</v>
      </c>
    </row>
    <row r="101" spans="1:11" hidden="1" x14ac:dyDescent="0.25">
      <c r="A101" s="1" t="s">
        <v>564</v>
      </c>
      <c r="B101" s="4" t="s">
        <v>565</v>
      </c>
      <c r="C101" s="5">
        <v>-5.2495240000000001</v>
      </c>
      <c r="D101" s="5">
        <v>-38.492610999999997</v>
      </c>
      <c r="E101" s="4" t="s">
        <v>476</v>
      </c>
      <c r="F101" s="4" t="s">
        <v>566</v>
      </c>
      <c r="G101" s="4" t="s">
        <v>567</v>
      </c>
      <c r="H101" s="4" t="s">
        <v>568</v>
      </c>
      <c r="I101" s="4" t="s">
        <v>148</v>
      </c>
      <c r="J101" s="6" t="s">
        <v>783</v>
      </c>
      <c r="K101" s="6" t="s">
        <v>17</v>
      </c>
    </row>
    <row r="102" spans="1:11" hidden="1" x14ac:dyDescent="0.25">
      <c r="A102" s="1" t="s">
        <v>569</v>
      </c>
      <c r="B102" s="4" t="s">
        <v>570</v>
      </c>
      <c r="C102" s="5">
        <v>-4.2261870000000004</v>
      </c>
      <c r="D102" s="5">
        <v>-38.112081000000003</v>
      </c>
      <c r="E102" s="4" t="s">
        <v>571</v>
      </c>
      <c r="F102" s="4" t="s">
        <v>572</v>
      </c>
      <c r="G102" s="4" t="s">
        <v>573</v>
      </c>
      <c r="H102" s="4" t="s">
        <v>574</v>
      </c>
      <c r="I102" s="4" t="s">
        <v>148</v>
      </c>
      <c r="J102" s="6" t="s">
        <v>783</v>
      </c>
      <c r="K102" s="6" t="s">
        <v>175</v>
      </c>
    </row>
    <row r="103" spans="1:11" hidden="1" x14ac:dyDescent="0.25">
      <c r="A103" s="1" t="s">
        <v>575</v>
      </c>
      <c r="B103" s="4" t="s">
        <v>576</v>
      </c>
      <c r="C103" s="5">
        <v>-4.2283770000000001</v>
      </c>
      <c r="D103" s="5">
        <v>-38.112941999999997</v>
      </c>
      <c r="E103" s="4" t="s">
        <v>577</v>
      </c>
      <c r="F103" s="4" t="s">
        <v>578</v>
      </c>
      <c r="G103" s="4" t="s">
        <v>72</v>
      </c>
      <c r="H103" s="4" t="s">
        <v>579</v>
      </c>
      <c r="I103" s="4" t="s">
        <v>100</v>
      </c>
      <c r="J103" s="6" t="s">
        <v>783</v>
      </c>
      <c r="K103" s="6" t="s">
        <v>17</v>
      </c>
    </row>
    <row r="104" spans="1:11" hidden="1" x14ac:dyDescent="0.25">
      <c r="A104" s="1" t="s">
        <v>580</v>
      </c>
      <c r="B104" s="4" t="s">
        <v>581</v>
      </c>
      <c r="C104" s="5">
        <v>-4.5799000000000003</v>
      </c>
      <c r="D104" s="5">
        <v>-37.851894999999999</v>
      </c>
      <c r="E104" s="4" t="s">
        <v>139</v>
      </c>
      <c r="F104" s="4" t="s">
        <v>582</v>
      </c>
      <c r="G104" s="4" t="s">
        <v>583</v>
      </c>
      <c r="H104" s="4" t="s">
        <v>584</v>
      </c>
      <c r="I104" s="4" t="s">
        <v>100</v>
      </c>
      <c r="J104" s="6" t="s">
        <v>783</v>
      </c>
      <c r="K104" s="6" t="s">
        <v>17</v>
      </c>
    </row>
    <row r="105" spans="1:11" x14ac:dyDescent="0.25">
      <c r="A105" s="1" t="s">
        <v>585</v>
      </c>
      <c r="B105" s="4" t="s">
        <v>586</v>
      </c>
      <c r="C105" s="5">
        <v>-3.9187500000000002</v>
      </c>
      <c r="D105" s="5">
        <v>-38.507182999999998</v>
      </c>
      <c r="E105" s="4" t="s">
        <v>103</v>
      </c>
      <c r="F105" s="4" t="s">
        <v>587</v>
      </c>
      <c r="G105" s="4" t="s">
        <v>588</v>
      </c>
      <c r="H105" s="4" t="s">
        <v>589</v>
      </c>
      <c r="I105" s="4" t="s">
        <v>100</v>
      </c>
      <c r="J105" s="6" t="s">
        <v>874</v>
      </c>
      <c r="K105" s="6" t="s">
        <v>175</v>
      </c>
    </row>
    <row r="106" spans="1:11" x14ac:dyDescent="0.25">
      <c r="A106" s="1" t="s">
        <v>169</v>
      </c>
      <c r="B106" s="4" t="s">
        <v>170</v>
      </c>
      <c r="C106" s="5">
        <v>-3.4862440000000001</v>
      </c>
      <c r="D106" s="5">
        <v>-39.13993</v>
      </c>
      <c r="E106" s="4" t="s">
        <v>171</v>
      </c>
      <c r="F106" s="4" t="s">
        <v>172</v>
      </c>
      <c r="G106" s="4" t="s">
        <v>173</v>
      </c>
      <c r="H106" s="4" t="s">
        <v>174</v>
      </c>
      <c r="I106" s="4" t="s">
        <v>100</v>
      </c>
      <c r="J106" s="6" t="s">
        <v>783</v>
      </c>
      <c r="K106" s="6" t="s">
        <v>175</v>
      </c>
    </row>
    <row r="107" spans="1:11" hidden="1" x14ac:dyDescent="0.25">
      <c r="A107" s="1" t="s">
        <v>176</v>
      </c>
      <c r="B107" s="4" t="s">
        <v>177</v>
      </c>
      <c r="C107" s="5">
        <v>-2.9143889999999999</v>
      </c>
      <c r="D107" s="5">
        <v>-40.170302</v>
      </c>
      <c r="E107" s="4" t="s">
        <v>171</v>
      </c>
      <c r="F107" s="4" t="s">
        <v>178</v>
      </c>
      <c r="G107" s="4" t="s">
        <v>179</v>
      </c>
      <c r="H107" s="4" t="s">
        <v>180</v>
      </c>
      <c r="I107" s="4" t="s">
        <v>100</v>
      </c>
      <c r="J107" s="6" t="s">
        <v>783</v>
      </c>
      <c r="K107" s="6" t="s">
        <v>17</v>
      </c>
    </row>
    <row r="108" spans="1:11" hidden="1" x14ac:dyDescent="0.25">
      <c r="A108" s="1" t="s">
        <v>181</v>
      </c>
      <c r="B108" s="4" t="s">
        <v>182</v>
      </c>
      <c r="C108" s="5">
        <v>-3.0483189999999998</v>
      </c>
      <c r="D108" s="5">
        <v>-41.245891</v>
      </c>
      <c r="E108" s="4" t="s">
        <v>171</v>
      </c>
      <c r="F108" s="4" t="s">
        <v>183</v>
      </c>
      <c r="G108" s="4" t="s">
        <v>184</v>
      </c>
      <c r="H108" s="4" t="s">
        <v>185</v>
      </c>
      <c r="I108" s="4" t="s">
        <v>148</v>
      </c>
      <c r="J108" s="6" t="s">
        <v>783</v>
      </c>
      <c r="K108" s="6" t="s">
        <v>17</v>
      </c>
    </row>
    <row r="109" spans="1:11" hidden="1" x14ac:dyDescent="0.25">
      <c r="A109" s="1" t="s">
        <v>186</v>
      </c>
      <c r="B109" s="4" t="s">
        <v>187</v>
      </c>
      <c r="C109" s="5">
        <v>-5.0728489999999997</v>
      </c>
      <c r="D109" s="5">
        <v>-38.384563</v>
      </c>
      <c r="E109" s="4" t="s">
        <v>188</v>
      </c>
      <c r="F109" s="4" t="s">
        <v>189</v>
      </c>
      <c r="G109" s="4" t="s">
        <v>190</v>
      </c>
      <c r="H109" s="4" t="s">
        <v>191</v>
      </c>
      <c r="I109" s="4" t="s">
        <v>148</v>
      </c>
      <c r="J109" s="6" t="s">
        <v>783</v>
      </c>
      <c r="K109" s="6" t="s">
        <v>17</v>
      </c>
    </row>
    <row r="110" spans="1:11" hidden="1" x14ac:dyDescent="0.25">
      <c r="A110" s="1" t="s">
        <v>192</v>
      </c>
      <c r="B110" s="4" t="s">
        <v>193</v>
      </c>
      <c r="C110" s="5">
        <v>-5.2116600000000002</v>
      </c>
      <c r="D110" s="5">
        <v>-39.312789000000002</v>
      </c>
      <c r="E110" s="4" t="s">
        <v>194</v>
      </c>
      <c r="F110" s="4" t="s">
        <v>195</v>
      </c>
      <c r="G110" s="4" t="s">
        <v>196</v>
      </c>
      <c r="H110" s="4" t="s">
        <v>197</v>
      </c>
      <c r="I110" s="4" t="s">
        <v>148</v>
      </c>
      <c r="J110" s="6" t="s">
        <v>783</v>
      </c>
      <c r="K110" s="6" t="s">
        <v>17</v>
      </c>
    </row>
    <row r="111" spans="1:11" hidden="1" x14ac:dyDescent="0.25">
      <c r="A111" s="1" t="s">
        <v>590</v>
      </c>
      <c r="B111" s="4" t="s">
        <v>591</v>
      </c>
      <c r="C111" s="5">
        <v>-3.7752400000000002</v>
      </c>
      <c r="D111" s="5">
        <v>-40.496578999999997</v>
      </c>
      <c r="E111" s="4" t="s">
        <v>592</v>
      </c>
      <c r="F111" s="4" t="s">
        <v>593</v>
      </c>
      <c r="G111" s="4" t="s">
        <v>594</v>
      </c>
      <c r="H111" s="4" t="s">
        <v>595</v>
      </c>
      <c r="I111" s="4" t="s">
        <v>100</v>
      </c>
      <c r="J111" s="6" t="s">
        <v>783</v>
      </c>
      <c r="K111" s="6" t="s">
        <v>17</v>
      </c>
    </row>
    <row r="112" spans="1:11" hidden="1" x14ac:dyDescent="0.25">
      <c r="A112" s="1" t="s">
        <v>596</v>
      </c>
      <c r="B112" s="4" t="s">
        <v>597</v>
      </c>
      <c r="C112" s="5">
        <v>-3.9414410000000002</v>
      </c>
      <c r="D112" s="5">
        <v>-40.889654999999998</v>
      </c>
      <c r="E112" s="4" t="s">
        <v>205</v>
      </c>
      <c r="F112" s="4" t="s">
        <v>598</v>
      </c>
      <c r="G112" s="4" t="s">
        <v>599</v>
      </c>
      <c r="H112" s="4" t="s">
        <v>600</v>
      </c>
      <c r="I112" s="4" t="s">
        <v>100</v>
      </c>
      <c r="J112" s="6" t="s">
        <v>783</v>
      </c>
      <c r="K112" s="6" t="s">
        <v>17</v>
      </c>
    </row>
    <row r="113" spans="1:11" hidden="1" x14ac:dyDescent="0.25">
      <c r="A113" s="1" t="s">
        <v>601</v>
      </c>
      <c r="B113" s="4" t="s">
        <v>602</v>
      </c>
      <c r="C113" s="5">
        <v>-4.7911549999999998</v>
      </c>
      <c r="D113" s="5">
        <v>-40.827958000000002</v>
      </c>
      <c r="E113" s="4" t="s">
        <v>603</v>
      </c>
      <c r="F113" s="4" t="s">
        <v>604</v>
      </c>
      <c r="G113" s="4" t="s">
        <v>605</v>
      </c>
      <c r="H113" s="4" t="s">
        <v>606</v>
      </c>
      <c r="I113" s="4" t="s">
        <v>100</v>
      </c>
      <c r="J113" s="6" t="s">
        <v>783</v>
      </c>
      <c r="K113" s="6" t="s">
        <v>17</v>
      </c>
    </row>
    <row r="114" spans="1:11" hidden="1" x14ac:dyDescent="0.25">
      <c r="A114" s="1" t="s">
        <v>607</v>
      </c>
      <c r="B114" s="4" t="s">
        <v>608</v>
      </c>
      <c r="C114" s="5">
        <v>-3.4859019999999998</v>
      </c>
      <c r="D114" s="5">
        <v>-39.523645000000002</v>
      </c>
      <c r="E114" s="4" t="s">
        <v>402</v>
      </c>
      <c r="F114" s="4" t="s">
        <v>609</v>
      </c>
      <c r="G114" s="4" t="s">
        <v>610</v>
      </c>
      <c r="H114" s="4" t="s">
        <v>611</v>
      </c>
      <c r="I114" s="4" t="s">
        <v>100</v>
      </c>
      <c r="J114" s="6" t="s">
        <v>783</v>
      </c>
      <c r="K114" s="6" t="s">
        <v>17</v>
      </c>
    </row>
    <row r="115" spans="1:11" hidden="1" x14ac:dyDescent="0.25">
      <c r="A115" s="1" t="s">
        <v>612</v>
      </c>
      <c r="B115" s="4" t="s">
        <v>613</v>
      </c>
      <c r="C115" s="5">
        <v>-4.4172060000000002</v>
      </c>
      <c r="D115" s="5">
        <v>-38.502341000000001</v>
      </c>
      <c r="E115" s="4" t="s">
        <v>813</v>
      </c>
      <c r="F115" s="4" t="s">
        <v>880</v>
      </c>
      <c r="G115" s="4" t="s">
        <v>878</v>
      </c>
      <c r="H115" s="4" t="s">
        <v>879</v>
      </c>
      <c r="I115" s="4" t="s">
        <v>100</v>
      </c>
      <c r="J115" s="6" t="s">
        <v>783</v>
      </c>
      <c r="K115" s="6" t="s">
        <v>17</v>
      </c>
    </row>
    <row r="116" spans="1:11" hidden="1" x14ac:dyDescent="0.25">
      <c r="A116" s="1" t="s">
        <v>616</v>
      </c>
      <c r="B116" s="4" t="s">
        <v>617</v>
      </c>
      <c r="C116" s="5">
        <v>-3.5105249999999999</v>
      </c>
      <c r="D116" s="5">
        <v>-40.357357</v>
      </c>
      <c r="E116" s="4" t="s">
        <v>232</v>
      </c>
      <c r="F116" s="4" t="s">
        <v>618</v>
      </c>
      <c r="G116" s="4" t="s">
        <v>619</v>
      </c>
      <c r="H116" s="4" t="s">
        <v>620</v>
      </c>
      <c r="I116" s="4" t="s">
        <v>148</v>
      </c>
      <c r="J116" s="6" t="s">
        <v>783</v>
      </c>
      <c r="K116" s="6" t="s">
        <v>17</v>
      </c>
    </row>
    <row r="117" spans="1:11" hidden="1" x14ac:dyDescent="0.25">
      <c r="A117" s="1" t="s">
        <v>621</v>
      </c>
      <c r="B117" s="4" t="s">
        <v>622</v>
      </c>
      <c r="C117" s="5">
        <v>-3.1338309999999998</v>
      </c>
      <c r="D117" s="5">
        <v>-40.838026999999997</v>
      </c>
      <c r="E117" s="4" t="s">
        <v>460</v>
      </c>
      <c r="F117" s="4" t="s">
        <v>623</v>
      </c>
      <c r="G117" s="4" t="s">
        <v>624</v>
      </c>
      <c r="H117" s="4" t="s">
        <v>625</v>
      </c>
      <c r="I117" s="4" t="s">
        <v>100</v>
      </c>
      <c r="J117" s="6" t="s">
        <v>783</v>
      </c>
      <c r="K117" s="6" t="s">
        <v>17</v>
      </c>
    </row>
    <row r="118" spans="1:11" hidden="1" x14ac:dyDescent="0.25">
      <c r="A118" s="1" t="s">
        <v>626</v>
      </c>
      <c r="B118" s="4" t="s">
        <v>627</v>
      </c>
      <c r="C118" s="5">
        <v>-5.0453950000000001</v>
      </c>
      <c r="D118" s="5">
        <v>-37.773105999999999</v>
      </c>
      <c r="E118" s="4" t="s">
        <v>490</v>
      </c>
      <c r="F118" s="4" t="s">
        <v>628</v>
      </c>
      <c r="G118" s="4" t="s">
        <v>629</v>
      </c>
      <c r="H118" s="4" t="s">
        <v>630</v>
      </c>
      <c r="I118" s="4" t="s">
        <v>148</v>
      </c>
      <c r="J118" s="6" t="s">
        <v>783</v>
      </c>
      <c r="K118" s="6" t="s">
        <v>17</v>
      </c>
    </row>
    <row r="119" spans="1:11" hidden="1" x14ac:dyDescent="0.25">
      <c r="A119" s="1" t="s">
        <v>198</v>
      </c>
      <c r="B119" s="4" t="s">
        <v>199</v>
      </c>
      <c r="C119" s="5">
        <v>-5.1876949999999997</v>
      </c>
      <c r="D119" s="5">
        <v>-39.270508</v>
      </c>
      <c r="E119" s="4" t="s">
        <v>75</v>
      </c>
      <c r="F119" s="4" t="s">
        <v>200</v>
      </c>
      <c r="G119" s="4" t="s">
        <v>201</v>
      </c>
      <c r="H119" s="4" t="s">
        <v>202</v>
      </c>
      <c r="I119" s="4" t="s">
        <v>148</v>
      </c>
      <c r="J119" s="6" t="s">
        <v>783</v>
      </c>
      <c r="K119" s="6" t="s">
        <v>17</v>
      </c>
    </row>
    <row r="120" spans="1:11" hidden="1" x14ac:dyDescent="0.25">
      <c r="A120" s="1" t="s">
        <v>631</v>
      </c>
      <c r="B120" s="4" t="s">
        <v>632</v>
      </c>
      <c r="C120" s="5">
        <v>-5.5281140000000004</v>
      </c>
      <c r="D120" s="5">
        <v>-39.517207999999997</v>
      </c>
      <c r="E120" s="4" t="s">
        <v>75</v>
      </c>
      <c r="F120" s="4" t="s">
        <v>633</v>
      </c>
      <c r="G120" s="4" t="s">
        <v>634</v>
      </c>
      <c r="H120" s="4" t="s">
        <v>635</v>
      </c>
      <c r="I120" s="4" t="s">
        <v>100</v>
      </c>
      <c r="J120" s="6" t="s">
        <v>783</v>
      </c>
      <c r="K120" s="6" t="s">
        <v>17</v>
      </c>
    </row>
    <row r="121" spans="1:11" hidden="1" x14ac:dyDescent="0.25">
      <c r="A121" s="1" t="s">
        <v>636</v>
      </c>
      <c r="B121" s="4" t="s">
        <v>637</v>
      </c>
      <c r="C121" s="5">
        <v>-4.3396030000000003</v>
      </c>
      <c r="D121" s="5">
        <v>-38.474690000000002</v>
      </c>
      <c r="E121" s="4" t="s">
        <v>103</v>
      </c>
      <c r="F121" s="4" t="s">
        <v>638</v>
      </c>
      <c r="G121" s="4" t="s">
        <v>639</v>
      </c>
      <c r="H121" s="4" t="s">
        <v>640</v>
      </c>
      <c r="I121" s="4" t="s">
        <v>100</v>
      </c>
      <c r="J121" s="6" t="s">
        <v>783</v>
      </c>
      <c r="K121" s="6" t="s">
        <v>17</v>
      </c>
    </row>
    <row r="122" spans="1:11" hidden="1" x14ac:dyDescent="0.25">
      <c r="A122" s="1" t="s">
        <v>641</v>
      </c>
      <c r="B122" s="4" t="s">
        <v>642</v>
      </c>
      <c r="C122" s="5">
        <v>-4.2869089999999996</v>
      </c>
      <c r="D122" s="5">
        <v>-38.934477999999999</v>
      </c>
      <c r="E122" s="4" t="s">
        <v>35</v>
      </c>
      <c r="F122" s="4" t="s">
        <v>643</v>
      </c>
      <c r="G122" s="4" t="s">
        <v>644</v>
      </c>
      <c r="H122" s="4" t="s">
        <v>82</v>
      </c>
      <c r="I122" s="4" t="s">
        <v>148</v>
      </c>
      <c r="J122" s="6" t="s">
        <v>783</v>
      </c>
      <c r="K122" s="6" t="s">
        <v>17</v>
      </c>
    </row>
    <row r="123" spans="1:11" hidden="1" x14ac:dyDescent="0.25">
      <c r="A123" s="1" t="s">
        <v>645</v>
      </c>
      <c r="B123" s="4" t="s">
        <v>646</v>
      </c>
      <c r="C123" s="5">
        <v>-3.3715929999999998</v>
      </c>
      <c r="D123" s="5">
        <v>-39.298461000000003</v>
      </c>
      <c r="E123" s="4" t="s">
        <v>171</v>
      </c>
      <c r="F123" s="4" t="s">
        <v>877</v>
      </c>
      <c r="G123" s="4" t="s">
        <v>876</v>
      </c>
      <c r="H123" s="4" t="s">
        <v>647</v>
      </c>
      <c r="I123" s="4" t="s">
        <v>148</v>
      </c>
      <c r="J123" s="6" t="s">
        <v>783</v>
      </c>
      <c r="K123" s="6" t="s">
        <v>175</v>
      </c>
    </row>
    <row r="124" spans="1:11" hidden="1" x14ac:dyDescent="0.25">
      <c r="A124" s="1" t="s">
        <v>648</v>
      </c>
      <c r="B124" s="4" t="s">
        <v>649</v>
      </c>
      <c r="C124" s="5">
        <v>-2.8945319999999999</v>
      </c>
      <c r="D124" s="5">
        <v>-40.225693999999997</v>
      </c>
      <c r="E124" s="4" t="s">
        <v>171</v>
      </c>
      <c r="F124" s="4" t="s">
        <v>650</v>
      </c>
      <c r="G124" s="4" t="s">
        <v>651</v>
      </c>
      <c r="H124" s="4" t="s">
        <v>652</v>
      </c>
      <c r="I124" s="4" t="s">
        <v>100</v>
      </c>
      <c r="J124" s="6" t="s">
        <v>783</v>
      </c>
      <c r="K124" s="6" t="s">
        <v>17</v>
      </c>
    </row>
    <row r="125" spans="1:11" hidden="1" x14ac:dyDescent="0.25">
      <c r="A125" s="1" t="s">
        <v>653</v>
      </c>
      <c r="B125" s="4" t="s">
        <v>654</v>
      </c>
      <c r="C125" s="5">
        <v>-4.5809509999999998</v>
      </c>
      <c r="D125" s="5">
        <v>-37.849564000000001</v>
      </c>
      <c r="E125" s="4" t="s">
        <v>24</v>
      </c>
      <c r="F125" s="4" t="s">
        <v>655</v>
      </c>
      <c r="G125" s="4" t="s">
        <v>656</v>
      </c>
      <c r="H125" s="4" t="s">
        <v>26</v>
      </c>
      <c r="I125" s="4" t="s">
        <v>100</v>
      </c>
      <c r="J125" s="6" t="s">
        <v>783</v>
      </c>
      <c r="K125" s="6" t="s">
        <v>17</v>
      </c>
    </row>
    <row r="126" spans="1:11" hidden="1" x14ac:dyDescent="0.25">
      <c r="A126" s="1" t="s">
        <v>657</v>
      </c>
      <c r="B126" s="4" t="s">
        <v>658</v>
      </c>
      <c r="C126" s="5">
        <v>-4.0470699999999997</v>
      </c>
      <c r="D126" s="5">
        <v>-38.206215999999998</v>
      </c>
      <c r="E126" s="4" t="s">
        <v>188</v>
      </c>
      <c r="F126" s="4" t="s">
        <v>659</v>
      </c>
      <c r="G126" s="4" t="s">
        <v>660</v>
      </c>
      <c r="H126" s="4" t="s">
        <v>661</v>
      </c>
      <c r="I126" s="4" t="s">
        <v>100</v>
      </c>
      <c r="J126" s="6" t="s">
        <v>783</v>
      </c>
      <c r="K126" s="6" t="s">
        <v>17</v>
      </c>
    </row>
    <row r="127" spans="1:11" hidden="1" x14ac:dyDescent="0.25">
      <c r="A127" s="1" t="s">
        <v>662</v>
      </c>
      <c r="B127" s="4" t="s">
        <v>663</v>
      </c>
      <c r="C127" s="5">
        <v>-5.4253080000000002</v>
      </c>
      <c r="D127" s="5">
        <v>-38.218938999999999</v>
      </c>
      <c r="E127" s="4" t="s">
        <v>188</v>
      </c>
      <c r="F127" s="4" t="s">
        <v>664</v>
      </c>
      <c r="G127" s="4" t="s">
        <v>665</v>
      </c>
      <c r="H127" s="4" t="s">
        <v>666</v>
      </c>
      <c r="I127" s="4" t="s">
        <v>148</v>
      </c>
      <c r="J127" s="6" t="s">
        <v>783</v>
      </c>
      <c r="K127" s="6" t="s">
        <v>17</v>
      </c>
    </row>
    <row r="128" spans="1:11" hidden="1" x14ac:dyDescent="0.25">
      <c r="A128" s="1" t="s">
        <v>667</v>
      </c>
      <c r="B128" s="4" t="s">
        <v>668</v>
      </c>
      <c r="C128" s="5">
        <v>-5.3554180000000002</v>
      </c>
      <c r="D128" s="5">
        <v>-38.916642000000003</v>
      </c>
      <c r="E128" s="4" t="s">
        <v>669</v>
      </c>
      <c r="F128" s="4" t="s">
        <v>670</v>
      </c>
      <c r="G128" s="4" t="s">
        <v>671</v>
      </c>
      <c r="H128" s="4" t="s">
        <v>672</v>
      </c>
      <c r="I128" s="4" t="s">
        <v>100</v>
      </c>
      <c r="J128" s="6" t="s">
        <v>783</v>
      </c>
      <c r="K128" s="6" t="s">
        <v>17</v>
      </c>
    </row>
    <row r="129" spans="1:11" hidden="1" x14ac:dyDescent="0.25">
      <c r="A129" s="1" t="s">
        <v>673</v>
      </c>
      <c r="B129" s="4" t="s">
        <v>674</v>
      </c>
      <c r="C129" s="5">
        <v>-5.973643</v>
      </c>
      <c r="D129" s="5">
        <v>-38.883752999999999</v>
      </c>
      <c r="E129" s="4" t="s">
        <v>669</v>
      </c>
      <c r="F129" s="4" t="s">
        <v>675</v>
      </c>
      <c r="G129" s="27" t="s">
        <v>875</v>
      </c>
      <c r="H129" s="4" t="s">
        <v>676</v>
      </c>
      <c r="I129" s="4" t="s">
        <v>100</v>
      </c>
      <c r="J129" s="6" t="s">
        <v>783</v>
      </c>
      <c r="K129" s="6" t="s">
        <v>17</v>
      </c>
    </row>
    <row r="130" spans="1:11" hidden="1" x14ac:dyDescent="0.25">
      <c r="A130" s="1" t="s">
        <v>677</v>
      </c>
      <c r="B130" s="4" t="s">
        <v>678</v>
      </c>
      <c r="C130" s="5">
        <v>-3.6789869999999998</v>
      </c>
      <c r="D130" s="5">
        <v>-38.909970999999999</v>
      </c>
      <c r="E130" s="4" t="s">
        <v>679</v>
      </c>
      <c r="F130" s="4" t="s">
        <v>680</v>
      </c>
      <c r="G130" s="4" t="s">
        <v>681</v>
      </c>
      <c r="H130" s="4" t="s">
        <v>682</v>
      </c>
      <c r="I130" s="4" t="s">
        <v>100</v>
      </c>
      <c r="J130" s="6" t="s">
        <v>783</v>
      </c>
      <c r="K130" s="6" t="s">
        <v>17</v>
      </c>
    </row>
    <row r="131" spans="1:11" hidden="1" x14ac:dyDescent="0.25">
      <c r="A131" s="1" t="s">
        <v>683</v>
      </c>
      <c r="B131" s="4" t="s">
        <v>684</v>
      </c>
      <c r="C131" s="5">
        <v>-4.1621629999999996</v>
      </c>
      <c r="D131" s="5">
        <v>-39.152894000000003</v>
      </c>
      <c r="E131" s="4" t="s">
        <v>685</v>
      </c>
      <c r="F131" s="4" t="s">
        <v>686</v>
      </c>
      <c r="G131" s="4" t="s">
        <v>281</v>
      </c>
      <c r="H131" s="4" t="s">
        <v>164</v>
      </c>
      <c r="I131" s="4" t="s">
        <v>100</v>
      </c>
      <c r="J131" s="6" t="s">
        <v>783</v>
      </c>
      <c r="K131" s="6" t="s">
        <v>17</v>
      </c>
    </row>
    <row r="132" spans="1:11" hidden="1" x14ac:dyDescent="0.25">
      <c r="A132" s="1" t="s">
        <v>687</v>
      </c>
      <c r="B132" s="4" t="s">
        <v>688</v>
      </c>
      <c r="C132" s="5">
        <v>-3.3697119999999998</v>
      </c>
      <c r="D132" s="5">
        <v>-39.294021000000001</v>
      </c>
      <c r="E132" s="4" t="s">
        <v>689</v>
      </c>
      <c r="F132" s="4" t="s">
        <v>690</v>
      </c>
      <c r="G132" s="4" t="s">
        <v>691</v>
      </c>
      <c r="H132" s="4" t="s">
        <v>692</v>
      </c>
      <c r="I132" s="4" t="s">
        <v>100</v>
      </c>
      <c r="J132" s="6" t="s">
        <v>783</v>
      </c>
      <c r="K132" s="6" t="s">
        <v>17</v>
      </c>
    </row>
    <row r="133" spans="1:11" hidden="1" x14ac:dyDescent="0.25">
      <c r="A133" s="1" t="s">
        <v>693</v>
      </c>
      <c r="B133" s="4" t="s">
        <v>694</v>
      </c>
      <c r="C133" s="5">
        <v>-5.8117999999999999</v>
      </c>
      <c r="D133" s="5">
        <v>-39.429194000000003</v>
      </c>
      <c r="E133" s="4" t="s">
        <v>194</v>
      </c>
      <c r="F133" s="4" t="s">
        <v>695</v>
      </c>
      <c r="G133" s="4" t="s">
        <v>696</v>
      </c>
      <c r="H133" s="4" t="s">
        <v>697</v>
      </c>
      <c r="I133" s="4" t="s">
        <v>100</v>
      </c>
      <c r="J133" s="6" t="s">
        <v>783</v>
      </c>
      <c r="K133" s="6" t="s">
        <v>17</v>
      </c>
    </row>
    <row r="134" spans="1:11" hidden="1" x14ac:dyDescent="0.25">
      <c r="A134" s="1" t="s">
        <v>698</v>
      </c>
      <c r="B134" s="4" t="s">
        <v>699</v>
      </c>
      <c r="C134" s="5">
        <v>-3.3046380000000002</v>
      </c>
      <c r="D134" s="5">
        <v>-39.514719999999997</v>
      </c>
      <c r="E134" s="4" t="s">
        <v>171</v>
      </c>
      <c r="F134" s="4" t="s">
        <v>700</v>
      </c>
      <c r="G134" s="4" t="s">
        <v>701</v>
      </c>
      <c r="H134" s="4" t="s">
        <v>702</v>
      </c>
      <c r="I134" s="4" t="s">
        <v>100</v>
      </c>
      <c r="J134" s="6" t="s">
        <v>783</v>
      </c>
      <c r="K134" s="6" t="s">
        <v>17</v>
      </c>
    </row>
    <row r="135" spans="1:11" hidden="1" x14ac:dyDescent="0.25">
      <c r="A135" s="1" t="s">
        <v>703</v>
      </c>
      <c r="B135" s="4" t="s">
        <v>704</v>
      </c>
      <c r="C135" s="5">
        <v>-5.1423990000000002</v>
      </c>
      <c r="D135" s="5">
        <v>-39.716183999999998</v>
      </c>
      <c r="E135" s="4" t="s">
        <v>263</v>
      </c>
      <c r="F135" s="4" t="s">
        <v>705</v>
      </c>
      <c r="G135" s="4" t="s">
        <v>706</v>
      </c>
      <c r="H135" s="4" t="s">
        <v>707</v>
      </c>
      <c r="I135" s="4" t="s">
        <v>100</v>
      </c>
      <c r="J135" s="6" t="s">
        <v>783</v>
      </c>
      <c r="K135" s="6" t="s">
        <v>17</v>
      </c>
    </row>
    <row r="136" spans="1:11" hidden="1" x14ac:dyDescent="0.25">
      <c r="A136" s="1" t="s">
        <v>708</v>
      </c>
      <c r="B136" s="4" t="s">
        <v>709</v>
      </c>
      <c r="C136" s="5">
        <v>-3.4763199999999999</v>
      </c>
      <c r="D136" s="5">
        <v>-39.631295999999999</v>
      </c>
      <c r="E136" s="4" t="s">
        <v>47</v>
      </c>
      <c r="F136" s="4" t="s">
        <v>710</v>
      </c>
      <c r="G136" s="4" t="s">
        <v>610</v>
      </c>
      <c r="H136" s="4" t="s">
        <v>711</v>
      </c>
      <c r="I136" s="4" t="s">
        <v>100</v>
      </c>
      <c r="J136" s="6" t="s">
        <v>783</v>
      </c>
      <c r="K136" s="6" t="s">
        <v>17</v>
      </c>
    </row>
    <row r="137" spans="1:11" hidden="1" x14ac:dyDescent="0.25">
      <c r="A137" s="1" t="s">
        <v>712</v>
      </c>
      <c r="B137" s="4" t="s">
        <v>713</v>
      </c>
      <c r="C137" s="5">
        <v>-3.5627770000000001</v>
      </c>
      <c r="D137" s="5">
        <v>-39.970638999999998</v>
      </c>
      <c r="E137" s="4" t="s">
        <v>238</v>
      </c>
      <c r="F137" s="4" t="s">
        <v>714</v>
      </c>
      <c r="G137" s="4" t="s">
        <v>715</v>
      </c>
      <c r="H137" s="4" t="s">
        <v>716</v>
      </c>
      <c r="I137" s="4" t="s">
        <v>148</v>
      </c>
      <c r="J137" s="6" t="s">
        <v>783</v>
      </c>
      <c r="K137" s="6" t="s">
        <v>17</v>
      </c>
    </row>
    <row r="138" spans="1:11" hidden="1" x14ac:dyDescent="0.25">
      <c r="A138" s="1" t="s">
        <v>717</v>
      </c>
      <c r="B138" s="4" t="s">
        <v>718</v>
      </c>
      <c r="C138" s="5">
        <v>-5.4055679999999997</v>
      </c>
      <c r="D138" s="5">
        <v>-40.298172000000001</v>
      </c>
      <c r="E138" s="4" t="s">
        <v>133</v>
      </c>
      <c r="F138" s="4" t="s">
        <v>719</v>
      </c>
      <c r="G138" s="4" t="s">
        <v>720</v>
      </c>
      <c r="H138" s="4" t="s">
        <v>721</v>
      </c>
      <c r="I138" s="4" t="s">
        <v>100</v>
      </c>
      <c r="J138" s="6" t="s">
        <v>783</v>
      </c>
      <c r="K138" s="6" t="s">
        <v>17</v>
      </c>
    </row>
    <row r="139" spans="1:11" hidden="1" x14ac:dyDescent="0.25">
      <c r="A139" s="1" t="s">
        <v>722</v>
      </c>
      <c r="B139" s="4" t="s">
        <v>723</v>
      </c>
      <c r="C139" s="5">
        <v>-2.9586229999999998</v>
      </c>
      <c r="D139" s="5">
        <v>-39.903604000000001</v>
      </c>
      <c r="E139" s="4" t="s">
        <v>171</v>
      </c>
      <c r="F139" s="4" t="s">
        <v>724</v>
      </c>
      <c r="G139" s="4" t="s">
        <v>725</v>
      </c>
      <c r="H139" s="4" t="s">
        <v>726</v>
      </c>
      <c r="I139" s="4" t="s">
        <v>148</v>
      </c>
      <c r="J139" s="6" t="s">
        <v>783</v>
      </c>
      <c r="K139" s="6" t="s">
        <v>17</v>
      </c>
    </row>
    <row r="140" spans="1:11" hidden="1" x14ac:dyDescent="0.25">
      <c r="A140" s="1" t="s">
        <v>727</v>
      </c>
      <c r="B140" s="4" t="s">
        <v>728</v>
      </c>
      <c r="C140" s="5">
        <v>-2.92225</v>
      </c>
      <c r="D140" s="5">
        <v>-40.120244</v>
      </c>
      <c r="E140" s="4" t="s">
        <v>544</v>
      </c>
      <c r="F140" s="4" t="s">
        <v>729</v>
      </c>
      <c r="G140" s="4" t="s">
        <v>730</v>
      </c>
      <c r="H140" s="4" t="s">
        <v>731</v>
      </c>
      <c r="I140" s="4" t="s">
        <v>100</v>
      </c>
      <c r="J140" s="6" t="s">
        <v>783</v>
      </c>
      <c r="K140" s="6" t="s">
        <v>17</v>
      </c>
    </row>
    <row r="141" spans="1:11" hidden="1" x14ac:dyDescent="0.25">
      <c r="A141" s="1" t="s">
        <v>732</v>
      </c>
      <c r="B141" s="4" t="s">
        <v>733</v>
      </c>
      <c r="C141" s="5">
        <v>-3.697114</v>
      </c>
      <c r="D141" s="5">
        <v>-40.304628999999998</v>
      </c>
      <c r="E141" s="4" t="s">
        <v>47</v>
      </c>
      <c r="F141" s="4" t="s">
        <v>734</v>
      </c>
      <c r="G141" s="4" t="s">
        <v>50</v>
      </c>
      <c r="H141" s="4" t="s">
        <v>735</v>
      </c>
      <c r="I141" s="4" t="s">
        <v>148</v>
      </c>
      <c r="J141" s="6" t="s">
        <v>783</v>
      </c>
      <c r="K141" s="6" t="s">
        <v>17</v>
      </c>
    </row>
    <row r="142" spans="1:11" hidden="1" x14ac:dyDescent="0.25">
      <c r="A142" s="1" t="s">
        <v>736</v>
      </c>
      <c r="B142" s="4" t="s">
        <v>737</v>
      </c>
      <c r="C142" s="5">
        <v>-3.7188409999999998</v>
      </c>
      <c r="D142" s="5">
        <v>-40.335732</v>
      </c>
      <c r="E142" s="4" t="s">
        <v>57</v>
      </c>
      <c r="F142" s="4" t="s">
        <v>738</v>
      </c>
      <c r="G142" s="4" t="s">
        <v>739</v>
      </c>
      <c r="H142" s="4" t="s">
        <v>740</v>
      </c>
      <c r="I142" s="4" t="s">
        <v>100</v>
      </c>
      <c r="J142" s="6" t="s">
        <v>783</v>
      </c>
      <c r="K142" s="6" t="s">
        <v>17</v>
      </c>
    </row>
    <row r="143" spans="1:11" hidden="1" x14ac:dyDescent="0.25">
      <c r="A143" s="1" t="s">
        <v>741</v>
      </c>
      <c r="B143" s="4" t="s">
        <v>742</v>
      </c>
      <c r="C143" s="5">
        <v>-4.0396409999999996</v>
      </c>
      <c r="D143" s="5">
        <v>-40.473917999999998</v>
      </c>
      <c r="E143" s="4" t="s">
        <v>592</v>
      </c>
      <c r="F143" s="4" t="s">
        <v>743</v>
      </c>
      <c r="G143" s="4" t="s">
        <v>595</v>
      </c>
      <c r="H143" s="4" t="s">
        <v>744</v>
      </c>
      <c r="I143" s="4" t="s">
        <v>148</v>
      </c>
      <c r="J143" s="6" t="s">
        <v>783</v>
      </c>
      <c r="K143" s="6" t="s">
        <v>17</v>
      </c>
    </row>
    <row r="144" spans="1:11" hidden="1" x14ac:dyDescent="0.25">
      <c r="A144" s="1" t="s">
        <v>745</v>
      </c>
      <c r="B144" s="4" t="s">
        <v>746</v>
      </c>
      <c r="C144" s="5">
        <v>-4.1137740000000003</v>
      </c>
      <c r="D144" s="5">
        <v>-40.863508000000003</v>
      </c>
      <c r="E144" s="4" t="s">
        <v>205</v>
      </c>
      <c r="F144" s="4" t="s">
        <v>747</v>
      </c>
      <c r="G144" s="4" t="s">
        <v>748</v>
      </c>
      <c r="H144" s="4" t="s">
        <v>749</v>
      </c>
      <c r="I144" s="4" t="s">
        <v>100</v>
      </c>
      <c r="J144" s="6" t="s">
        <v>783</v>
      </c>
      <c r="K144" s="6" t="s">
        <v>17</v>
      </c>
    </row>
    <row r="145" spans="1:11" hidden="1" x14ac:dyDescent="0.25">
      <c r="A145" s="1" t="s">
        <v>750</v>
      </c>
      <c r="B145" s="4" t="s">
        <v>751</v>
      </c>
      <c r="C145" s="5">
        <v>-4.5583349999999996</v>
      </c>
      <c r="D145" s="5">
        <v>-40.729585999999998</v>
      </c>
      <c r="E145" s="4" t="s">
        <v>603</v>
      </c>
      <c r="F145" s="4" t="s">
        <v>752</v>
      </c>
      <c r="G145" s="4" t="s">
        <v>753</v>
      </c>
      <c r="H145" s="4" t="s">
        <v>754</v>
      </c>
      <c r="I145" s="4" t="s">
        <v>100</v>
      </c>
      <c r="J145" s="6" t="s">
        <v>783</v>
      </c>
      <c r="K145" s="6" t="s">
        <v>17</v>
      </c>
    </row>
    <row r="146" spans="1:11" hidden="1" x14ac:dyDescent="0.25">
      <c r="A146" s="1" t="s">
        <v>755</v>
      </c>
      <c r="B146" s="4" t="s">
        <v>756</v>
      </c>
      <c r="C146" s="5">
        <v>-5.1463979999999996</v>
      </c>
      <c r="D146" s="5">
        <v>-40.670636000000002</v>
      </c>
      <c r="E146" s="4" t="s">
        <v>603</v>
      </c>
      <c r="F146" s="4" t="s">
        <v>757</v>
      </c>
      <c r="G146" s="4" t="s">
        <v>758</v>
      </c>
      <c r="H146" s="4" t="s">
        <v>759</v>
      </c>
      <c r="I146" s="4" t="s">
        <v>100</v>
      </c>
      <c r="J146" s="6" t="s">
        <v>783</v>
      </c>
      <c r="K146" s="6" t="s">
        <v>17</v>
      </c>
    </row>
    <row r="147" spans="1:11" hidden="1" x14ac:dyDescent="0.25">
      <c r="A147" s="1" t="s">
        <v>760</v>
      </c>
      <c r="B147" s="4" t="s">
        <v>761</v>
      </c>
      <c r="C147" s="5">
        <v>-4.1471960000000001</v>
      </c>
      <c r="D147" s="5">
        <v>-40.945563999999997</v>
      </c>
      <c r="E147" s="4" t="s">
        <v>762</v>
      </c>
      <c r="F147" s="4" t="s">
        <v>763</v>
      </c>
      <c r="G147" s="4" t="s">
        <v>764</v>
      </c>
      <c r="H147" s="4" t="s">
        <v>765</v>
      </c>
      <c r="I147" s="4" t="s">
        <v>100</v>
      </c>
      <c r="J147" s="6" t="s">
        <v>783</v>
      </c>
      <c r="K147" s="6" t="s">
        <v>303</v>
      </c>
    </row>
    <row r="148" spans="1:11" hidden="1" x14ac:dyDescent="0.25">
      <c r="A148" s="1" t="s">
        <v>766</v>
      </c>
      <c r="B148" s="4" t="s">
        <v>767</v>
      </c>
      <c r="C148" s="5">
        <v>-3.521487</v>
      </c>
      <c r="D148" s="5">
        <v>-40.330056999999996</v>
      </c>
      <c r="E148" s="4" t="s">
        <v>768</v>
      </c>
      <c r="F148" s="4" t="s">
        <v>769</v>
      </c>
      <c r="G148" s="4" t="s">
        <v>770</v>
      </c>
      <c r="H148" s="4" t="s">
        <v>771</v>
      </c>
      <c r="I148" s="4" t="s">
        <v>148</v>
      </c>
      <c r="J148" s="6" t="s">
        <v>783</v>
      </c>
      <c r="K148" s="6" t="s">
        <v>17</v>
      </c>
    </row>
    <row r="149" spans="1:11" hidden="1" x14ac:dyDescent="0.25">
      <c r="A149" s="1" t="s">
        <v>772</v>
      </c>
      <c r="B149" s="4" t="s">
        <v>773</v>
      </c>
      <c r="C149" s="5">
        <v>-3.5194079999999999</v>
      </c>
      <c r="D149" s="5">
        <v>-40.361950999999998</v>
      </c>
      <c r="E149" s="4" t="s">
        <v>768</v>
      </c>
      <c r="F149" s="4" t="s">
        <v>774</v>
      </c>
      <c r="G149" s="4" t="s">
        <v>775</v>
      </c>
      <c r="H149" s="4" t="s">
        <v>776</v>
      </c>
      <c r="I149" s="4" t="s">
        <v>100</v>
      </c>
      <c r="J149" s="6" t="s">
        <v>783</v>
      </c>
      <c r="K149" s="6" t="s">
        <v>17</v>
      </c>
    </row>
    <row r="150" spans="1:11" hidden="1" x14ac:dyDescent="0.25">
      <c r="A150" s="1" t="s">
        <v>777</v>
      </c>
      <c r="B150" s="4" t="s">
        <v>778</v>
      </c>
      <c r="C150" s="5">
        <v>-3.552886</v>
      </c>
      <c r="D150" s="5">
        <v>-40.663702000000001</v>
      </c>
      <c r="E150" s="4" t="s">
        <v>47</v>
      </c>
      <c r="F150" s="4" t="s">
        <v>779</v>
      </c>
      <c r="G150" s="4" t="s">
        <v>780</v>
      </c>
      <c r="H150" s="4" t="s">
        <v>781</v>
      </c>
      <c r="I150" s="4" t="s">
        <v>148</v>
      </c>
      <c r="J150" s="6" t="s">
        <v>783</v>
      </c>
      <c r="K150" s="6" t="s">
        <v>17</v>
      </c>
    </row>
  </sheetData>
  <autoFilter ref="A1:K150" xr:uid="{4DA12617-6B17-4A0E-9E79-EBA6E19B3138}">
    <filterColumn colId="9">
      <filters>
        <filter val="EM ANDAMENTO"/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zoomScale="85" zoomScaleNormal="85" workbookViewId="0">
      <selection activeCell="G162" sqref="G16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784</v>
      </c>
      <c r="E1" s="33"/>
      <c r="F1" s="34" t="s">
        <v>785</v>
      </c>
      <c r="G1" s="34"/>
      <c r="H1" s="30" t="s">
        <v>786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787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788</v>
      </c>
      <c r="I2" s="29"/>
      <c r="J2" s="29"/>
      <c r="K2" s="9" t="s">
        <v>789</v>
      </c>
      <c r="L2" s="9" t="s">
        <v>789</v>
      </c>
      <c r="M2" s="30" t="s">
        <v>790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791</v>
      </c>
      <c r="I3" s="8" t="s">
        <v>792</v>
      </c>
      <c r="J3" s="8" t="s">
        <v>793</v>
      </c>
      <c r="K3" s="7" t="s">
        <v>794</v>
      </c>
      <c r="L3" s="7" t="s">
        <v>795</v>
      </c>
      <c r="M3" s="7" t="s">
        <v>796</v>
      </c>
      <c r="N3" s="7" t="s">
        <v>797</v>
      </c>
      <c r="O3" s="7" t="s">
        <v>798</v>
      </c>
      <c r="P3" s="7" t="s">
        <v>799</v>
      </c>
      <c r="Q3" s="7" t="s">
        <v>800</v>
      </c>
      <c r="R3" s="7" t="s">
        <v>801</v>
      </c>
      <c r="S3" s="7" t="s">
        <v>802</v>
      </c>
      <c r="T3" s="7" t="s">
        <v>803</v>
      </c>
      <c r="U3" s="7" t="s">
        <v>804</v>
      </c>
      <c r="V3" s="7" t="s">
        <v>805</v>
      </c>
      <c r="W3" s="7" t="s">
        <v>806</v>
      </c>
      <c r="X3" s="7" t="s">
        <v>807</v>
      </c>
      <c r="Y3" s="7" t="s">
        <v>808</v>
      </c>
      <c r="Z3" s="7" t="s">
        <v>809</v>
      </c>
      <c r="AA3" s="7" t="s">
        <v>810</v>
      </c>
      <c r="AB3" s="7" t="s">
        <v>811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95</v>
      </c>
      <c r="B5" s="19" t="s">
        <v>96</v>
      </c>
      <c r="C5" s="19" t="s">
        <v>97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102</v>
      </c>
      <c r="B6" s="19" t="s">
        <v>103</v>
      </c>
      <c r="C6" s="19" t="s">
        <v>104</v>
      </c>
      <c r="D6" s="21">
        <v>-4.2180660000000003</v>
      </c>
      <c r="E6" s="21">
        <v>-38.474912000000003</v>
      </c>
      <c r="F6" s="20">
        <v>46230</v>
      </c>
      <c r="G6" s="20">
        <f t="shared" ref="G6:G69" si="0">F6+2</f>
        <v>46232</v>
      </c>
      <c r="H6" s="12">
        <v>987</v>
      </c>
      <c r="I6" s="12">
        <v>12170</v>
      </c>
      <c r="J6" s="12">
        <v>167</v>
      </c>
      <c r="K6" s="12">
        <v>1505</v>
      </c>
      <c r="L6" s="12">
        <v>739</v>
      </c>
      <c r="M6" s="12">
        <v>58</v>
      </c>
      <c r="N6" s="12">
        <v>494</v>
      </c>
      <c r="O6" s="12">
        <v>105</v>
      </c>
      <c r="P6" s="12">
        <v>7</v>
      </c>
      <c r="Q6" s="12">
        <v>118</v>
      </c>
      <c r="R6" s="12">
        <v>210</v>
      </c>
      <c r="S6" s="12">
        <v>30</v>
      </c>
      <c r="T6" s="12">
        <v>166</v>
      </c>
      <c r="U6" s="12">
        <v>5</v>
      </c>
      <c r="V6" s="12">
        <v>7</v>
      </c>
      <c r="W6" s="12">
        <v>11</v>
      </c>
      <c r="X6" s="12">
        <v>8</v>
      </c>
      <c r="Y6" s="12">
        <v>5</v>
      </c>
      <c r="Z6" s="12">
        <v>27</v>
      </c>
      <c r="AA6" s="12">
        <v>68</v>
      </c>
      <c r="AB6" s="12">
        <v>44</v>
      </c>
      <c r="AC6" s="13">
        <f t="shared" ref="AC6:AC69" si="1">SUM(H6:AB6)</f>
        <v>16931</v>
      </c>
    </row>
    <row r="7" spans="1:29" s="14" customFormat="1" ht="24.95" hidden="1" customHeight="1" x14ac:dyDescent="0.3">
      <c r="A7" s="19" t="s">
        <v>108</v>
      </c>
      <c r="B7" s="19" t="s">
        <v>103</v>
      </c>
      <c r="C7" s="19" t="s">
        <v>109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customHeight="1" x14ac:dyDescent="0.3">
      <c r="A8" s="19" t="s">
        <v>113</v>
      </c>
      <c r="B8" s="19" t="s">
        <v>114</v>
      </c>
      <c r="C8" s="19" t="s">
        <v>115</v>
      </c>
      <c r="D8" s="21">
        <v>-3.7101890000000002</v>
      </c>
      <c r="E8" s="21">
        <v>-38.829062999999998</v>
      </c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117</v>
      </c>
      <c r="B9" s="19" t="s">
        <v>114</v>
      </c>
      <c r="C9" s="19" t="s">
        <v>118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122</v>
      </c>
      <c r="B10" s="19" t="s">
        <v>114</v>
      </c>
      <c r="C10" s="19" t="s">
        <v>123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132</v>
      </c>
      <c r="B11" s="19" t="s">
        <v>133</v>
      </c>
      <c r="C11" s="19" t="s">
        <v>134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138</v>
      </c>
      <c r="B12" s="19" t="s">
        <v>139</v>
      </c>
      <c r="C12" s="19" t="s">
        <v>140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144</v>
      </c>
      <c r="B13" s="19" t="s">
        <v>571</v>
      </c>
      <c r="C13" s="19" t="s">
        <v>812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156</v>
      </c>
      <c r="B14" s="19" t="s">
        <v>75</v>
      </c>
      <c r="C14" s="19" t="s">
        <v>157</v>
      </c>
      <c r="D14" s="24" t="s">
        <v>833</v>
      </c>
      <c r="E14" s="24" t="s">
        <v>834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170</v>
      </c>
      <c r="B15" s="19" t="s">
        <v>171</v>
      </c>
      <c r="C15" s="19" t="s">
        <v>172</v>
      </c>
      <c r="D15" s="21">
        <v>-3.4862440000000001</v>
      </c>
      <c r="E15" s="21">
        <v>-39.13993</v>
      </c>
      <c r="F15" s="20">
        <v>46233</v>
      </c>
      <c r="G15" s="20">
        <f t="shared" si="0"/>
        <v>46235</v>
      </c>
      <c r="H15" s="12">
        <v>955</v>
      </c>
      <c r="I15" s="12">
        <v>7969</v>
      </c>
      <c r="J15" s="12">
        <v>112</v>
      </c>
      <c r="K15" s="12">
        <v>647</v>
      </c>
      <c r="L15" s="12">
        <v>266</v>
      </c>
      <c r="M15" s="12">
        <v>57</v>
      </c>
      <c r="N15" s="12">
        <v>45</v>
      </c>
      <c r="O15" s="12">
        <v>13</v>
      </c>
      <c r="P15" s="12">
        <v>5</v>
      </c>
      <c r="Q15" s="12">
        <v>10</v>
      </c>
      <c r="R15" s="12">
        <v>25</v>
      </c>
      <c r="S15" s="12">
        <v>10</v>
      </c>
      <c r="T15" s="12">
        <v>63</v>
      </c>
      <c r="U15" s="12">
        <v>2</v>
      </c>
      <c r="V15" s="12">
        <v>0</v>
      </c>
      <c r="W15" s="12">
        <v>3</v>
      </c>
      <c r="X15" s="12">
        <v>1</v>
      </c>
      <c r="Y15" s="12">
        <v>1</v>
      </c>
      <c r="Z15" s="12">
        <v>4</v>
      </c>
      <c r="AA15" s="12">
        <v>3</v>
      </c>
      <c r="AB15" s="12">
        <v>1</v>
      </c>
      <c r="AC15" s="13">
        <f>SUM(H15:AB15)</f>
        <v>10192</v>
      </c>
    </row>
    <row r="16" spans="1:29" s="14" customFormat="1" ht="24.95" hidden="1" customHeight="1" x14ac:dyDescent="0.3">
      <c r="A16" s="19" t="s">
        <v>177</v>
      </c>
      <c r="B16" s="19" t="s">
        <v>171</v>
      </c>
      <c r="C16" s="19" t="s">
        <v>178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182</v>
      </c>
      <c r="B17" s="19" t="s">
        <v>171</v>
      </c>
      <c r="C17" s="19" t="s">
        <v>183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187</v>
      </c>
      <c r="B18" s="19" t="s">
        <v>188</v>
      </c>
      <c r="C18" s="19" t="s">
        <v>189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193</v>
      </c>
      <c r="B19" s="19" t="s">
        <v>194</v>
      </c>
      <c r="C19" s="19" t="s">
        <v>195</v>
      </c>
      <c r="D19" s="24" t="s">
        <v>835</v>
      </c>
      <c r="E19" s="24" t="s">
        <v>836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591</v>
      </c>
      <c r="B20" s="19" t="s">
        <v>592</v>
      </c>
      <c r="C20" s="19" t="s">
        <v>593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597</v>
      </c>
      <c r="B21" s="19" t="s">
        <v>205</v>
      </c>
      <c r="C21" s="19" t="s">
        <v>598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602</v>
      </c>
      <c r="B22" s="19" t="s">
        <v>603</v>
      </c>
      <c r="C22" s="19" t="s">
        <v>604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608</v>
      </c>
      <c r="B23" s="19" t="s">
        <v>402</v>
      </c>
      <c r="C23" s="19" t="s">
        <v>609</v>
      </c>
      <c r="D23" s="24" t="s">
        <v>843</v>
      </c>
      <c r="E23" s="24" t="s">
        <v>844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613</v>
      </c>
      <c r="B24" s="19" t="s">
        <v>614</v>
      </c>
      <c r="C24" s="19" t="s">
        <v>615</v>
      </c>
      <c r="D24" s="21">
        <v>-4.4172060000000002</v>
      </c>
      <c r="E24" s="21">
        <v>-38.502341000000001</v>
      </c>
      <c r="F24" s="20">
        <v>46230</v>
      </c>
      <c r="G24" s="20">
        <f t="shared" si="0"/>
        <v>46232</v>
      </c>
      <c r="H24" s="12">
        <v>340</v>
      </c>
      <c r="I24" s="12">
        <v>3049</v>
      </c>
      <c r="J24" s="12">
        <v>79</v>
      </c>
      <c r="K24" s="12">
        <v>444</v>
      </c>
      <c r="L24" s="12">
        <v>181</v>
      </c>
      <c r="M24" s="12">
        <v>8</v>
      </c>
      <c r="N24" s="12">
        <v>37</v>
      </c>
      <c r="O24" s="12">
        <v>5</v>
      </c>
      <c r="P24" s="12">
        <v>2</v>
      </c>
      <c r="Q24" s="12">
        <v>7</v>
      </c>
      <c r="R24" s="12">
        <v>5</v>
      </c>
      <c r="S24" s="12">
        <v>4</v>
      </c>
      <c r="T24" s="12">
        <v>33</v>
      </c>
      <c r="U24" s="12">
        <v>0</v>
      </c>
      <c r="V24" s="12">
        <v>0</v>
      </c>
      <c r="W24" s="12">
        <v>1</v>
      </c>
      <c r="X24" s="12">
        <v>0</v>
      </c>
      <c r="Y24" s="12">
        <v>0</v>
      </c>
      <c r="Z24" s="12">
        <v>4</v>
      </c>
      <c r="AA24" s="12">
        <v>2</v>
      </c>
      <c r="AB24" s="12">
        <v>0</v>
      </c>
      <c r="AC24" s="13">
        <f t="shared" si="1"/>
        <v>4201</v>
      </c>
    </row>
    <row r="25" spans="1:29" s="14" customFormat="1" ht="24.95" hidden="1" customHeight="1" x14ac:dyDescent="0.3">
      <c r="A25" s="19" t="s">
        <v>617</v>
      </c>
      <c r="B25" s="19" t="s">
        <v>232</v>
      </c>
      <c r="C25" s="19" t="s">
        <v>618</v>
      </c>
      <c r="D25" s="24" t="s">
        <v>853</v>
      </c>
      <c r="E25" s="24" t="s">
        <v>854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622</v>
      </c>
      <c r="B26" s="19" t="s">
        <v>460</v>
      </c>
      <c r="C26" s="19" t="s">
        <v>623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627</v>
      </c>
      <c r="B27" s="19" t="s">
        <v>490</v>
      </c>
      <c r="C27" s="19" t="s">
        <v>628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199</v>
      </c>
      <c r="B28" s="19" t="s">
        <v>75</v>
      </c>
      <c r="C28" s="19" t="s">
        <v>200</v>
      </c>
      <c r="D28" s="24" t="s">
        <v>837</v>
      </c>
      <c r="E28" s="24" t="s">
        <v>838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632</v>
      </c>
      <c r="B29" s="19" t="s">
        <v>75</v>
      </c>
      <c r="C29" s="19" t="s">
        <v>633</v>
      </c>
      <c r="D29" s="24" t="s">
        <v>819</v>
      </c>
      <c r="E29" s="24" t="s">
        <v>820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637</v>
      </c>
      <c r="B30" s="19" t="s">
        <v>103</v>
      </c>
      <c r="C30" s="19" t="s">
        <v>638</v>
      </c>
      <c r="D30" s="21">
        <v>-4.3396030000000003</v>
      </c>
      <c r="E30" s="21">
        <v>-38.474690000000002</v>
      </c>
      <c r="F30" s="20">
        <v>46230</v>
      </c>
      <c r="G30" s="20">
        <f t="shared" si="0"/>
        <v>46232</v>
      </c>
      <c r="H30" s="12">
        <v>453</v>
      </c>
      <c r="I30" s="12">
        <v>6226</v>
      </c>
      <c r="J30" s="12">
        <v>121</v>
      </c>
      <c r="K30" s="12">
        <v>1075</v>
      </c>
      <c r="L30" s="12">
        <v>665</v>
      </c>
      <c r="M30" s="12">
        <v>39</v>
      </c>
      <c r="N30" s="12">
        <v>354</v>
      </c>
      <c r="O30" s="12">
        <v>91</v>
      </c>
      <c r="P30" s="12">
        <v>7</v>
      </c>
      <c r="Q30" s="12">
        <v>139</v>
      </c>
      <c r="R30" s="12">
        <v>253</v>
      </c>
      <c r="S30" s="12">
        <v>13</v>
      </c>
      <c r="T30" s="12">
        <v>140</v>
      </c>
      <c r="U30" s="12">
        <v>6</v>
      </c>
      <c r="V30" s="12">
        <v>3</v>
      </c>
      <c r="W30" s="12">
        <v>11</v>
      </c>
      <c r="X30" s="12">
        <v>7</v>
      </c>
      <c r="Y30" s="12">
        <v>1</v>
      </c>
      <c r="Z30" s="12">
        <v>54</v>
      </c>
      <c r="AA30" s="12">
        <v>109</v>
      </c>
      <c r="AB30" s="12">
        <v>132</v>
      </c>
      <c r="AC30" s="13">
        <f t="shared" si="1"/>
        <v>9899</v>
      </c>
    </row>
    <row r="31" spans="1:29" ht="24.95" hidden="1" customHeight="1" x14ac:dyDescent="0.25">
      <c r="A31" s="19" t="s">
        <v>642</v>
      </c>
      <c r="B31" s="19" t="s">
        <v>35</v>
      </c>
      <c r="C31" s="19" t="s">
        <v>643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646</v>
      </c>
      <c r="B32" s="19" t="s">
        <v>171</v>
      </c>
      <c r="C32" s="19" t="s">
        <v>877</v>
      </c>
      <c r="D32" s="21">
        <v>-3.3715929999999998</v>
      </c>
      <c r="E32" s="21">
        <v>-39.298461000000003</v>
      </c>
      <c r="F32" s="20">
        <v>46225</v>
      </c>
      <c r="G32" s="20">
        <f t="shared" si="0"/>
        <v>46227</v>
      </c>
      <c r="H32" s="12">
        <v>541</v>
      </c>
      <c r="I32" s="12">
        <v>3626</v>
      </c>
      <c r="J32" s="12">
        <v>125</v>
      </c>
      <c r="K32" s="12">
        <v>462</v>
      </c>
      <c r="L32" s="12">
        <v>244</v>
      </c>
      <c r="M32" s="12">
        <v>12</v>
      </c>
      <c r="N32" s="12">
        <v>39</v>
      </c>
      <c r="O32" s="12">
        <v>8</v>
      </c>
      <c r="P32" s="12">
        <v>0</v>
      </c>
      <c r="Q32" s="12">
        <v>6</v>
      </c>
      <c r="R32" s="12">
        <v>31</v>
      </c>
      <c r="S32" s="12">
        <v>12</v>
      </c>
      <c r="T32" s="12">
        <v>58</v>
      </c>
      <c r="U32" s="12">
        <v>0</v>
      </c>
      <c r="V32" s="12">
        <v>0</v>
      </c>
      <c r="W32" s="12">
        <v>2</v>
      </c>
      <c r="X32" s="12">
        <v>0</v>
      </c>
      <c r="Y32" s="12">
        <v>0</v>
      </c>
      <c r="Z32" s="12">
        <v>2</v>
      </c>
      <c r="AA32" s="12">
        <v>2</v>
      </c>
      <c r="AB32" s="12">
        <v>0</v>
      </c>
      <c r="AC32" s="13">
        <f t="shared" si="1"/>
        <v>5170</v>
      </c>
    </row>
    <row r="33" spans="1:29" ht="24.95" hidden="1" customHeight="1" x14ac:dyDescent="0.25">
      <c r="A33" s="19" t="s">
        <v>649</v>
      </c>
      <c r="B33" s="19" t="s">
        <v>171</v>
      </c>
      <c r="C33" s="19" t="s">
        <v>650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654</v>
      </c>
      <c r="B34" s="19" t="s">
        <v>24</v>
      </c>
      <c r="C34" s="19" t="s">
        <v>655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658</v>
      </c>
      <c r="B35" s="19" t="s">
        <v>188</v>
      </c>
      <c r="C35" s="19" t="s">
        <v>659</v>
      </c>
      <c r="D35" s="21">
        <v>-4.0470699999999997</v>
      </c>
      <c r="E35" s="21">
        <v>-38.206215999999998</v>
      </c>
      <c r="F35" s="20">
        <v>46225</v>
      </c>
      <c r="G35" s="20">
        <f t="shared" si="0"/>
        <v>46227</v>
      </c>
      <c r="H35" s="12">
        <v>1481</v>
      </c>
      <c r="I35" s="12">
        <v>2736</v>
      </c>
      <c r="J35" s="12">
        <v>20</v>
      </c>
      <c r="K35" s="12">
        <v>205</v>
      </c>
      <c r="L35" s="12">
        <v>24</v>
      </c>
      <c r="M35" s="12">
        <v>4</v>
      </c>
      <c r="N35" s="12">
        <v>10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23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3">
        <f t="shared" si="1"/>
        <v>4503</v>
      </c>
    </row>
    <row r="36" spans="1:29" ht="24.95" hidden="1" customHeight="1" x14ac:dyDescent="0.25">
      <c r="A36" s="19" t="s">
        <v>663</v>
      </c>
      <c r="B36" s="19" t="s">
        <v>188</v>
      </c>
      <c r="C36" s="19" t="s">
        <v>664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668</v>
      </c>
      <c r="B37" s="19" t="s">
        <v>669</v>
      </c>
      <c r="C37" s="19" t="s">
        <v>670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674</v>
      </c>
      <c r="B38" s="19" t="s">
        <v>669</v>
      </c>
      <c r="C38" s="19" t="s">
        <v>675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678</v>
      </c>
      <c r="B39" s="19" t="s">
        <v>679</v>
      </c>
      <c r="C39" s="19" t="s">
        <v>680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684</v>
      </c>
      <c r="B40" s="19" t="s">
        <v>685</v>
      </c>
      <c r="C40" s="19" t="s">
        <v>686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688</v>
      </c>
      <c r="B41" s="19" t="s">
        <v>689</v>
      </c>
      <c r="C41" s="19" t="s">
        <v>690</v>
      </c>
      <c r="D41" s="21">
        <v>-3.3697119999999998</v>
      </c>
      <c r="E41" s="21">
        <v>-39.294021000000001</v>
      </c>
      <c r="F41" s="20">
        <v>46225</v>
      </c>
      <c r="G41" s="20">
        <f t="shared" si="0"/>
        <v>46227</v>
      </c>
      <c r="H41" s="12">
        <v>1236</v>
      </c>
      <c r="I41" s="12">
        <v>2775</v>
      </c>
      <c r="J41" s="12">
        <v>34</v>
      </c>
      <c r="K41" s="12">
        <v>280</v>
      </c>
      <c r="L41" s="12">
        <v>95</v>
      </c>
      <c r="M41" s="12">
        <v>12</v>
      </c>
      <c r="N41" s="12">
        <v>25</v>
      </c>
      <c r="O41" s="12">
        <v>0</v>
      </c>
      <c r="P41" s="12">
        <v>0</v>
      </c>
      <c r="Q41" s="12">
        <v>1</v>
      </c>
      <c r="R41" s="12">
        <v>2</v>
      </c>
      <c r="S41" s="12">
        <v>4</v>
      </c>
      <c r="T41" s="12">
        <v>45</v>
      </c>
      <c r="U41" s="12">
        <v>0</v>
      </c>
      <c r="V41" s="12">
        <v>1</v>
      </c>
      <c r="W41" s="12">
        <v>2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3">
        <f t="shared" si="1"/>
        <v>4513</v>
      </c>
    </row>
    <row r="42" spans="1:29" ht="24.95" hidden="1" customHeight="1" x14ac:dyDescent="0.25">
      <c r="A42" s="19" t="s">
        <v>694</v>
      </c>
      <c r="B42" s="19" t="s">
        <v>194</v>
      </c>
      <c r="C42" s="19" t="s">
        <v>695</v>
      </c>
      <c r="D42" s="24" t="s">
        <v>821</v>
      </c>
      <c r="E42" s="24" t="s">
        <v>822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699</v>
      </c>
      <c r="B43" s="19" t="s">
        <v>171</v>
      </c>
      <c r="C43" s="19" t="s">
        <v>700</v>
      </c>
      <c r="D43" s="21">
        <v>-3.3046380000000002</v>
      </c>
      <c r="E43" s="21">
        <v>-39.514719999999997</v>
      </c>
      <c r="F43" s="20">
        <v>46225</v>
      </c>
      <c r="G43" s="20">
        <f t="shared" si="0"/>
        <v>46227</v>
      </c>
      <c r="H43" s="12">
        <v>405</v>
      </c>
      <c r="I43" s="12">
        <v>2994</v>
      </c>
      <c r="J43" s="12">
        <v>77</v>
      </c>
      <c r="K43" s="12">
        <v>319</v>
      </c>
      <c r="L43" s="12">
        <v>150</v>
      </c>
      <c r="M43" s="12">
        <v>6</v>
      </c>
      <c r="N43" s="12">
        <v>20</v>
      </c>
      <c r="O43" s="12">
        <v>4</v>
      </c>
      <c r="P43" s="12">
        <v>0</v>
      </c>
      <c r="Q43" s="12">
        <v>3</v>
      </c>
      <c r="R43" s="12">
        <v>17</v>
      </c>
      <c r="S43" s="12">
        <v>6</v>
      </c>
      <c r="T43" s="12">
        <v>33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1</v>
      </c>
      <c r="AA43" s="12">
        <v>1</v>
      </c>
      <c r="AB43" s="12">
        <v>0</v>
      </c>
      <c r="AC43" s="13">
        <f t="shared" si="1"/>
        <v>4037</v>
      </c>
    </row>
    <row r="44" spans="1:29" ht="24.95" hidden="1" customHeight="1" x14ac:dyDescent="0.25">
      <c r="A44" s="19" t="s">
        <v>704</v>
      </c>
      <c r="B44" s="19" t="s">
        <v>263</v>
      </c>
      <c r="C44" s="19" t="s">
        <v>705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709</v>
      </c>
      <c r="B45" s="19" t="s">
        <v>47</v>
      </c>
      <c r="C45" s="19" t="s">
        <v>710</v>
      </c>
      <c r="D45" s="24" t="s">
        <v>845</v>
      </c>
      <c r="E45" s="24" t="s">
        <v>846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713</v>
      </c>
      <c r="B46" s="19" t="s">
        <v>238</v>
      </c>
      <c r="C46" s="19" t="s">
        <v>714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718</v>
      </c>
      <c r="B47" s="19" t="s">
        <v>133</v>
      </c>
      <c r="C47" s="19" t="s">
        <v>719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723</v>
      </c>
      <c r="B48" s="19" t="s">
        <v>171</v>
      </c>
      <c r="C48" s="19" t="s">
        <v>724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728</v>
      </c>
      <c r="B49" s="19" t="s">
        <v>544</v>
      </c>
      <c r="C49" s="19" t="s">
        <v>729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733</v>
      </c>
      <c r="B50" s="19" t="s">
        <v>47</v>
      </c>
      <c r="C50" s="19" t="s">
        <v>734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737</v>
      </c>
      <c r="B51" s="19" t="s">
        <v>57</v>
      </c>
      <c r="C51" s="19" t="s">
        <v>738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742</v>
      </c>
      <c r="B52" s="19" t="s">
        <v>592</v>
      </c>
      <c r="C52" s="19" t="s">
        <v>743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746</v>
      </c>
      <c r="B53" s="19" t="s">
        <v>205</v>
      </c>
      <c r="C53" s="19" t="s">
        <v>747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751</v>
      </c>
      <c r="B54" s="19" t="s">
        <v>603</v>
      </c>
      <c r="C54" s="19" t="s">
        <v>752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756</v>
      </c>
      <c r="B55" s="19" t="s">
        <v>603</v>
      </c>
      <c r="C55" s="19" t="s">
        <v>757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761</v>
      </c>
      <c r="B56" s="19" t="s">
        <v>762</v>
      </c>
      <c r="C56" s="19" t="s">
        <v>763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767</v>
      </c>
      <c r="B57" s="19" t="s">
        <v>768</v>
      </c>
      <c r="C57" s="19" t="s">
        <v>769</v>
      </c>
      <c r="D57" s="24" t="s">
        <v>855</v>
      </c>
      <c r="E57" s="24" t="s">
        <v>856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773</v>
      </c>
      <c r="B58" s="19" t="s">
        <v>768</v>
      </c>
      <c r="C58" s="19" t="s">
        <v>774</v>
      </c>
      <c r="D58" s="24" t="s">
        <v>857</v>
      </c>
      <c r="E58" s="24" t="s">
        <v>858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778</v>
      </c>
      <c r="B59" s="19" t="s">
        <v>47</v>
      </c>
      <c r="C59" s="19" t="s">
        <v>779</v>
      </c>
      <c r="D59" s="24" t="s">
        <v>859</v>
      </c>
      <c r="E59" s="24" t="s">
        <v>860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310</v>
      </c>
      <c r="B60" s="19" t="s">
        <v>145</v>
      </c>
      <c r="C60" s="19" t="s">
        <v>311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315</v>
      </c>
      <c r="B61" s="19" t="s">
        <v>145</v>
      </c>
      <c r="C61" s="19" t="s">
        <v>316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320</v>
      </c>
      <c r="B62" s="19" t="s">
        <v>145</v>
      </c>
      <c r="C62" s="19" t="s">
        <v>321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325</v>
      </c>
      <c r="B63" s="19" t="s">
        <v>86</v>
      </c>
      <c r="C63" s="19" t="s">
        <v>326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330</v>
      </c>
      <c r="B64" s="19" t="s">
        <v>331</v>
      </c>
      <c r="C64" s="19" t="s">
        <v>332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336</v>
      </c>
      <c r="B65" s="19" t="s">
        <v>337</v>
      </c>
      <c r="C65" s="19" t="s">
        <v>338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127</v>
      </c>
      <c r="B66" s="19" t="s">
        <v>12</v>
      </c>
      <c r="C66" s="19" t="s">
        <v>128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342</v>
      </c>
      <c r="B67" s="19" t="s">
        <v>12</v>
      </c>
      <c r="C67" s="19" t="s">
        <v>343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346</v>
      </c>
      <c r="B68" s="19" t="s">
        <v>347</v>
      </c>
      <c r="C68" s="19" t="s">
        <v>348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352</v>
      </c>
      <c r="B69" s="19" t="s">
        <v>353</v>
      </c>
      <c r="C69" s="19" t="s">
        <v>354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357</v>
      </c>
      <c r="B70" s="19" t="s">
        <v>358</v>
      </c>
      <c r="C70" s="19" t="s">
        <v>359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363</v>
      </c>
      <c r="B71" s="19" t="s">
        <v>364</v>
      </c>
      <c r="C71" s="19" t="s">
        <v>365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369</v>
      </c>
      <c r="B72" s="19" t="s">
        <v>768</v>
      </c>
      <c r="C72" s="19" t="s">
        <v>863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371</v>
      </c>
      <c r="B73" s="19" t="s">
        <v>372</v>
      </c>
      <c r="C73" s="19" t="s">
        <v>373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377</v>
      </c>
      <c r="B74" s="19" t="s">
        <v>372</v>
      </c>
      <c r="C74" s="19" t="s">
        <v>378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380</v>
      </c>
      <c r="B75" s="19" t="s">
        <v>381</v>
      </c>
      <c r="C75" s="19" t="s">
        <v>382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386</v>
      </c>
      <c r="B76" s="19" t="s">
        <v>387</v>
      </c>
      <c r="C76" s="19" t="s">
        <v>873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customHeight="1" x14ac:dyDescent="0.25">
      <c r="A77" s="19" t="s">
        <v>390</v>
      </c>
      <c r="B77" s="19" t="s">
        <v>269</v>
      </c>
      <c r="C77" s="19" t="s">
        <v>391</v>
      </c>
      <c r="D77" s="21">
        <v>-3.5262289999999998</v>
      </c>
      <c r="E77" s="21">
        <v>-39.072856000000002</v>
      </c>
      <c r="F77" s="20">
        <v>46233</v>
      </c>
      <c r="G77" s="20">
        <f t="shared" si="6"/>
        <v>46235</v>
      </c>
      <c r="H77" s="12">
        <v>325</v>
      </c>
      <c r="I77" s="12">
        <v>3472</v>
      </c>
      <c r="J77" s="12">
        <v>35</v>
      </c>
      <c r="K77" s="12">
        <v>396</v>
      </c>
      <c r="L77" s="12">
        <v>68</v>
      </c>
      <c r="M77" s="12">
        <v>14</v>
      </c>
      <c r="N77" s="12">
        <v>17</v>
      </c>
      <c r="O77" s="12">
        <v>1</v>
      </c>
      <c r="P77" s="12">
        <v>0</v>
      </c>
      <c r="Q77" s="12">
        <v>6</v>
      </c>
      <c r="R77" s="12">
        <v>12</v>
      </c>
      <c r="S77" s="12">
        <v>3</v>
      </c>
      <c r="T77" s="12">
        <v>20</v>
      </c>
      <c r="U77" s="12">
        <v>0</v>
      </c>
      <c r="V77" s="12">
        <v>1</v>
      </c>
      <c r="W77" s="12">
        <v>1</v>
      </c>
      <c r="X77" s="12">
        <v>0</v>
      </c>
      <c r="Y77" s="12">
        <v>0</v>
      </c>
      <c r="Z77" s="12">
        <v>1</v>
      </c>
      <c r="AA77" s="12">
        <v>1</v>
      </c>
      <c r="AB77" s="12">
        <v>3</v>
      </c>
      <c r="AC77" s="13">
        <f t="shared" si="5"/>
        <v>4376</v>
      </c>
    </row>
    <row r="78" spans="1:29" ht="24.95" customHeight="1" x14ac:dyDescent="0.25">
      <c r="A78" s="19" t="s">
        <v>395</v>
      </c>
      <c r="B78" s="19" t="s">
        <v>396</v>
      </c>
      <c r="C78" s="19" t="s">
        <v>397</v>
      </c>
      <c r="D78" s="21">
        <v>-3.5535730000000001</v>
      </c>
      <c r="E78" s="21">
        <v>-38.884430000000002</v>
      </c>
      <c r="F78" s="20">
        <v>46233</v>
      </c>
      <c r="G78" s="20">
        <f t="shared" si="6"/>
        <v>46235</v>
      </c>
      <c r="H78" s="12">
        <v>2134</v>
      </c>
      <c r="I78" s="12">
        <v>4486</v>
      </c>
      <c r="J78" s="12">
        <v>57</v>
      </c>
      <c r="K78" s="12">
        <v>577</v>
      </c>
      <c r="L78" s="12">
        <v>66</v>
      </c>
      <c r="M78" s="12">
        <v>8</v>
      </c>
      <c r="N78" s="12">
        <v>78</v>
      </c>
      <c r="O78" s="12">
        <v>1</v>
      </c>
      <c r="P78" s="12">
        <v>0</v>
      </c>
      <c r="Q78" s="12">
        <v>1</v>
      </c>
      <c r="R78" s="12">
        <v>0</v>
      </c>
      <c r="S78" s="12">
        <v>2</v>
      </c>
      <c r="T78" s="12">
        <v>46</v>
      </c>
      <c r="U78" s="12">
        <v>0</v>
      </c>
      <c r="V78" s="12">
        <v>1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3">
        <f t="shared" si="5"/>
        <v>7457</v>
      </c>
    </row>
    <row r="79" spans="1:29" ht="24.95" hidden="1" customHeight="1" x14ac:dyDescent="0.25">
      <c r="A79" s="19" t="s">
        <v>401</v>
      </c>
      <c r="B79" s="19" t="s">
        <v>402</v>
      </c>
      <c r="C79" s="19" t="s">
        <v>403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407</v>
      </c>
      <c r="B80" s="19" t="s">
        <v>263</v>
      </c>
      <c r="C80" s="19" t="s">
        <v>408</v>
      </c>
      <c r="D80" s="24" t="s">
        <v>847</v>
      </c>
      <c r="E80" s="24" t="s">
        <v>848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412</v>
      </c>
      <c r="B81" s="19" t="s">
        <v>413</v>
      </c>
      <c r="C81" s="19" t="s">
        <v>414</v>
      </c>
      <c r="D81" s="24" t="s">
        <v>851</v>
      </c>
      <c r="E81" s="24" t="s">
        <v>852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418</v>
      </c>
      <c r="B82" s="19" t="s">
        <v>402</v>
      </c>
      <c r="C82" s="19" t="s">
        <v>419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423</v>
      </c>
      <c r="B83" s="19" t="s">
        <v>226</v>
      </c>
      <c r="C83" s="19" t="s">
        <v>424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427</v>
      </c>
      <c r="B84" s="19" t="s">
        <v>226</v>
      </c>
      <c r="C84" s="19" t="s">
        <v>428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432</v>
      </c>
      <c r="B85" s="19" t="s">
        <v>433</v>
      </c>
      <c r="C85" s="19" t="s">
        <v>434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438</v>
      </c>
      <c r="B86" s="19" t="s">
        <v>96</v>
      </c>
      <c r="C86" s="19" t="s">
        <v>439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443</v>
      </c>
      <c r="B87" s="19" t="s">
        <v>232</v>
      </c>
      <c r="C87" s="19" t="s">
        <v>444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448</v>
      </c>
      <c r="B88" s="19" t="s">
        <v>232</v>
      </c>
      <c r="C88" s="19" t="s">
        <v>449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453</v>
      </c>
      <c r="B89" s="19" t="s">
        <v>232</v>
      </c>
      <c r="C89" s="19" t="s">
        <v>869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455</v>
      </c>
      <c r="B90" s="19" t="s">
        <v>456</v>
      </c>
      <c r="C90" s="19" t="s">
        <v>457</v>
      </c>
      <c r="D90" s="24" t="s">
        <v>823</v>
      </c>
      <c r="E90" s="24" t="s">
        <v>824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459</v>
      </c>
      <c r="B91" s="19" t="s">
        <v>460</v>
      </c>
      <c r="C91" s="19" t="s">
        <v>461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465</v>
      </c>
      <c r="B92" s="19" t="s">
        <v>460</v>
      </c>
      <c r="C92" s="19" t="s">
        <v>466</v>
      </c>
      <c r="D92" s="24" t="s">
        <v>861</v>
      </c>
      <c r="E92" s="24" t="s">
        <v>862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469</v>
      </c>
      <c r="B93" s="19" t="s">
        <v>470</v>
      </c>
      <c r="C93" s="19" t="s">
        <v>471</v>
      </c>
      <c r="D93" s="24" t="s">
        <v>839</v>
      </c>
      <c r="E93" s="24" t="s">
        <v>840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150</v>
      </c>
      <c r="B94" s="19" t="s">
        <v>813</v>
      </c>
      <c r="C94" s="19" t="s">
        <v>814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475</v>
      </c>
      <c r="B95" s="19" t="s">
        <v>476</v>
      </c>
      <c r="C95" s="19" t="s">
        <v>477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481</v>
      </c>
      <c r="B96" s="19" t="s">
        <v>476</v>
      </c>
      <c r="C96" s="19" t="s">
        <v>482</v>
      </c>
      <c r="D96" s="24" t="s">
        <v>825</v>
      </c>
      <c r="E96" s="24" t="s">
        <v>826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486</v>
      </c>
      <c r="B97" s="19" t="s">
        <v>133</v>
      </c>
      <c r="C97" s="19" t="s">
        <v>487</v>
      </c>
      <c r="D97" s="24" t="s">
        <v>827</v>
      </c>
      <c r="E97" s="24" t="s">
        <v>828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489</v>
      </c>
      <c r="B98" s="19" t="s">
        <v>490</v>
      </c>
      <c r="C98" s="19" t="s">
        <v>491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495</v>
      </c>
      <c r="B99" s="19" t="s">
        <v>490</v>
      </c>
      <c r="C99" s="19" t="s">
        <v>496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500</v>
      </c>
      <c r="B100" s="19" t="s">
        <v>372</v>
      </c>
      <c r="C100" s="19" t="s">
        <v>501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505</v>
      </c>
      <c r="B101" s="19" t="s">
        <v>506</v>
      </c>
      <c r="C101" s="19" t="s">
        <v>507</v>
      </c>
      <c r="D101" s="21">
        <v>-3.956655</v>
      </c>
      <c r="E101" s="21">
        <v>-38.350233000000003</v>
      </c>
      <c r="F101" s="20">
        <v>46225</v>
      </c>
      <c r="G101" s="20">
        <f t="shared" si="6"/>
        <v>46227</v>
      </c>
      <c r="H101" s="12">
        <v>3379</v>
      </c>
      <c r="I101" s="12">
        <v>8053</v>
      </c>
      <c r="J101" s="12">
        <v>100</v>
      </c>
      <c r="K101" s="12">
        <v>617</v>
      </c>
      <c r="L101" s="12">
        <v>87</v>
      </c>
      <c r="M101" s="12">
        <v>33</v>
      </c>
      <c r="N101" s="12">
        <v>133</v>
      </c>
      <c r="O101" s="12">
        <v>1</v>
      </c>
      <c r="P101" s="12">
        <v>1</v>
      </c>
      <c r="Q101" s="12">
        <v>6</v>
      </c>
      <c r="R101" s="12">
        <v>1</v>
      </c>
      <c r="S101" s="12">
        <v>10</v>
      </c>
      <c r="T101" s="12">
        <v>97</v>
      </c>
      <c r="U101" s="12">
        <v>0</v>
      </c>
      <c r="V101" s="12">
        <v>1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3">
        <f t="shared" si="5"/>
        <v>12519</v>
      </c>
    </row>
    <row r="102" spans="1:29" ht="24.95" hidden="1" customHeight="1" x14ac:dyDescent="0.25">
      <c r="A102" s="19" t="s">
        <v>511</v>
      </c>
      <c r="B102" s="19" t="s">
        <v>512</v>
      </c>
      <c r="C102" s="19" t="s">
        <v>513</v>
      </c>
      <c r="D102" s="21">
        <v>-4.0347569999999999</v>
      </c>
      <c r="E102" s="21">
        <v>-38.240461000000003</v>
      </c>
      <c r="F102" s="20">
        <v>46225</v>
      </c>
      <c r="G102" s="20">
        <f t="shared" si="6"/>
        <v>46227</v>
      </c>
      <c r="H102" s="12">
        <v>625</v>
      </c>
      <c r="I102" s="12">
        <v>1753</v>
      </c>
      <c r="J102" s="12">
        <v>65</v>
      </c>
      <c r="K102" s="12">
        <v>154</v>
      </c>
      <c r="L102" s="12">
        <v>3</v>
      </c>
      <c r="M102" s="12">
        <v>6</v>
      </c>
      <c r="N102" s="12">
        <v>5</v>
      </c>
      <c r="O102" s="12">
        <v>0</v>
      </c>
      <c r="P102" s="12">
        <v>0</v>
      </c>
      <c r="Q102" s="12">
        <v>0</v>
      </c>
      <c r="R102" s="12">
        <v>0</v>
      </c>
      <c r="S102" s="12">
        <v>1</v>
      </c>
      <c r="T102" s="12">
        <v>9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1</v>
      </c>
      <c r="AA102" s="12">
        <v>0</v>
      </c>
      <c r="AB102" s="12">
        <v>0</v>
      </c>
      <c r="AC102" s="13">
        <f t="shared" si="5"/>
        <v>2622</v>
      </c>
    </row>
    <row r="103" spans="1:29" ht="24.95" hidden="1" customHeight="1" x14ac:dyDescent="0.25">
      <c r="A103" s="19" t="s">
        <v>161</v>
      </c>
      <c r="B103" s="19" t="s">
        <v>162</v>
      </c>
      <c r="C103" s="19" t="s">
        <v>815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517</v>
      </c>
      <c r="B104" s="19" t="s">
        <v>518</v>
      </c>
      <c r="C104" s="19" t="s">
        <v>519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523</v>
      </c>
      <c r="B105" s="19" t="s">
        <v>524</v>
      </c>
      <c r="C105" s="19" t="s">
        <v>525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529</v>
      </c>
      <c r="B106" s="19" t="s">
        <v>476</v>
      </c>
      <c r="C106" s="19" t="s">
        <v>530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534</v>
      </c>
      <c r="B107" s="19" t="s">
        <v>353</v>
      </c>
      <c r="C107" s="19" t="s">
        <v>535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167</v>
      </c>
      <c r="B108" s="19" t="s">
        <v>12</v>
      </c>
      <c r="C108" s="19" t="s">
        <v>168</v>
      </c>
      <c r="D108" s="24" t="s">
        <v>841</v>
      </c>
      <c r="E108" s="24" t="s">
        <v>842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539</v>
      </c>
      <c r="B109" s="19" t="s">
        <v>41</v>
      </c>
      <c r="C109" s="19" t="s">
        <v>540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543</v>
      </c>
      <c r="B110" s="19" t="s">
        <v>544</v>
      </c>
      <c r="C110" s="19" t="s">
        <v>545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549</v>
      </c>
      <c r="B111" s="19" t="s">
        <v>205</v>
      </c>
      <c r="C111" s="19" t="s">
        <v>550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554</v>
      </c>
      <c r="B112" s="19" t="s">
        <v>205</v>
      </c>
      <c r="C112" s="19" t="s">
        <v>555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559</v>
      </c>
      <c r="B113" s="19" t="s">
        <v>560</v>
      </c>
      <c r="C113" s="19" t="s">
        <v>561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565</v>
      </c>
      <c r="B114" s="19" t="s">
        <v>476</v>
      </c>
      <c r="C114" s="19" t="s">
        <v>566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570</v>
      </c>
      <c r="B115" s="19" t="s">
        <v>571</v>
      </c>
      <c r="C115" s="19" t="s">
        <v>572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576</v>
      </c>
      <c r="B116" s="19" t="s">
        <v>577</v>
      </c>
      <c r="C116" s="19" t="s">
        <v>578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581</v>
      </c>
      <c r="B117" s="19" t="s">
        <v>139</v>
      </c>
      <c r="C117" s="19" t="s">
        <v>582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586</v>
      </c>
      <c r="B118" s="19" t="s">
        <v>103</v>
      </c>
      <c r="C118" s="19" t="s">
        <v>587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19</v>
      </c>
      <c r="B120" s="19" t="s">
        <v>12</v>
      </c>
      <c r="C120" s="19" t="s">
        <v>20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23</v>
      </c>
      <c r="B121" s="19" t="s">
        <v>24</v>
      </c>
      <c r="C121" s="19" t="s">
        <v>25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29</v>
      </c>
      <c r="B122" s="19" t="s">
        <v>12</v>
      </c>
      <c r="C122" s="19" t="s">
        <v>30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34</v>
      </c>
      <c r="B123" s="19" t="s">
        <v>35</v>
      </c>
      <c r="C123" s="19" t="s">
        <v>36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40</v>
      </c>
      <c r="B124" s="19" t="s">
        <v>41</v>
      </c>
      <c r="C124" s="19" t="s">
        <v>42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62</v>
      </c>
      <c r="B125" s="19" t="s">
        <v>63</v>
      </c>
      <c r="C125" s="19" t="s">
        <v>64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68</v>
      </c>
      <c r="B126" s="19" t="s">
        <v>69</v>
      </c>
      <c r="C126" s="19" t="s">
        <v>70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210</v>
      </c>
      <c r="B127" s="19" t="s">
        <v>205</v>
      </c>
      <c r="C127" s="19" t="s">
        <v>211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262</v>
      </c>
      <c r="B128" s="19" t="s">
        <v>263</v>
      </c>
      <c r="C128" s="19" t="s">
        <v>264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268</v>
      </c>
      <c r="B129" s="19" t="s">
        <v>269</v>
      </c>
      <c r="C129" s="19" t="s">
        <v>270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274</v>
      </c>
      <c r="B130" s="19" t="s">
        <v>35</v>
      </c>
      <c r="C130" s="19" t="s">
        <v>275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279</v>
      </c>
      <c r="B131" s="19" t="s">
        <v>35</v>
      </c>
      <c r="C131" s="19" t="s">
        <v>280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80</v>
      </c>
      <c r="B132" s="19" t="s">
        <v>35</v>
      </c>
      <c r="C132" s="19" t="s">
        <v>81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85</v>
      </c>
      <c r="B133" s="19" t="s">
        <v>86</v>
      </c>
      <c r="C133" s="19" t="s">
        <v>87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91</v>
      </c>
      <c r="B134" s="19" t="s">
        <v>86</v>
      </c>
      <c r="C134" s="19" t="s">
        <v>92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284</v>
      </c>
      <c r="B135" s="19" t="s">
        <v>285</v>
      </c>
      <c r="C135" s="19" t="s">
        <v>286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289</v>
      </c>
      <c r="B136" s="19" t="s">
        <v>290</v>
      </c>
      <c r="C136" s="19" t="s">
        <v>291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46</v>
      </c>
      <c r="B137" s="19" t="s">
        <v>47</v>
      </c>
      <c r="C137" s="19" t="s">
        <v>48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52</v>
      </c>
      <c r="B138" s="19" t="s">
        <v>47</v>
      </c>
      <c r="C138" s="19" t="s">
        <v>53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56</v>
      </c>
      <c r="B139" s="19" t="s">
        <v>57</v>
      </c>
      <c r="C139" s="19" t="s">
        <v>58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74</v>
      </c>
      <c r="B140" s="19" t="s">
        <v>75</v>
      </c>
      <c r="C140" s="19" t="s">
        <v>76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204</v>
      </c>
      <c r="B141" s="19" t="s">
        <v>205</v>
      </c>
      <c r="C141" s="19" t="s">
        <v>206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215</v>
      </c>
      <c r="B142" s="19" t="s">
        <v>86</v>
      </c>
      <c r="C142" s="19" t="s">
        <v>216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220</v>
      </c>
      <c r="B143" s="19" t="s">
        <v>145</v>
      </c>
      <c r="C143" s="19" t="s">
        <v>221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225</v>
      </c>
      <c r="B144" s="19" t="s">
        <v>226</v>
      </c>
      <c r="C144" s="19" t="s">
        <v>227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231</v>
      </c>
      <c r="B145" s="19" t="s">
        <v>232</v>
      </c>
      <c r="C145" s="19" t="s">
        <v>233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237</v>
      </c>
      <c r="B146" s="19" t="s">
        <v>238</v>
      </c>
      <c r="C146" s="19" t="s">
        <v>239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243</v>
      </c>
      <c r="B147" s="19" t="s">
        <v>47</v>
      </c>
      <c r="C147" s="19" t="s">
        <v>244</v>
      </c>
      <c r="D147" s="24" t="s">
        <v>849</v>
      </c>
      <c r="E147" s="24" t="s">
        <v>850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hidden="1" customHeight="1" x14ac:dyDescent="0.25">
      <c r="A148" s="19" t="s">
        <v>248</v>
      </c>
      <c r="B148" s="19" t="s">
        <v>188</v>
      </c>
      <c r="C148" s="19" t="s">
        <v>249</v>
      </c>
      <c r="D148" s="21">
        <v>-4.5082250000000004</v>
      </c>
      <c r="E148" s="21">
        <v>-38.358925999999997</v>
      </c>
      <c r="F148" s="20">
        <v>46230</v>
      </c>
      <c r="G148" s="20">
        <f t="shared" si="7"/>
        <v>46232</v>
      </c>
      <c r="H148" s="12">
        <v>210</v>
      </c>
      <c r="I148" s="12">
        <v>2176</v>
      </c>
      <c r="J148" s="12">
        <v>25</v>
      </c>
      <c r="K148" s="12">
        <v>394</v>
      </c>
      <c r="L148" s="12">
        <v>175</v>
      </c>
      <c r="M148" s="12">
        <v>16</v>
      </c>
      <c r="N148" s="12">
        <v>35</v>
      </c>
      <c r="O148" s="12">
        <v>14</v>
      </c>
      <c r="P148" s="12">
        <v>0</v>
      </c>
      <c r="Q148" s="12">
        <v>4</v>
      </c>
      <c r="R148" s="12">
        <v>25</v>
      </c>
      <c r="S148" s="12">
        <v>0</v>
      </c>
      <c r="T148" s="12">
        <v>60</v>
      </c>
      <c r="U148" s="12">
        <v>1</v>
      </c>
      <c r="V148" s="12">
        <v>0</v>
      </c>
      <c r="W148" s="12">
        <v>2</v>
      </c>
      <c r="X148" s="12">
        <v>0</v>
      </c>
      <c r="Y148" s="12">
        <v>0</v>
      </c>
      <c r="Z148" s="12">
        <v>3</v>
      </c>
      <c r="AA148" s="12">
        <v>2</v>
      </c>
      <c r="AB148" s="12">
        <v>11</v>
      </c>
      <c r="AC148" s="13">
        <f t="shared" si="8"/>
        <v>3153</v>
      </c>
    </row>
    <row r="149" spans="1:29" ht="24.95" hidden="1" customHeight="1" x14ac:dyDescent="0.25">
      <c r="A149" s="19" t="s">
        <v>253</v>
      </c>
      <c r="B149" s="19" t="s">
        <v>41</v>
      </c>
      <c r="C149" s="19" t="s">
        <v>254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258</v>
      </c>
      <c r="B150" s="19" t="s">
        <v>75</v>
      </c>
      <c r="C150" s="19" t="s">
        <v>259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295</v>
      </c>
      <c r="B151" s="19" t="s">
        <v>396</v>
      </c>
      <c r="C151" s="19" t="s">
        <v>866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298</v>
      </c>
      <c r="B152" s="19" t="s">
        <v>299</v>
      </c>
      <c r="C152" s="19" t="s">
        <v>300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305</v>
      </c>
      <c r="B153" s="19" t="s">
        <v>133</v>
      </c>
      <c r="C153" s="19" t="s">
        <v>306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P 08"/>
        <filter val="P 134"/>
        <filter val="P 135"/>
        <filter val="P 21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2026-08-03T15:06:06Z</dcterms:modified>
</cp:coreProperties>
</file>