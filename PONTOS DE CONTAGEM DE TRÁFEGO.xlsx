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C03965BA-EDD8-490D-9381-0CB4F11879FB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PONTOS'!$A$1:$K$146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6" i="2" l="1"/>
  <c r="G116" i="2"/>
  <c r="G115" i="2"/>
  <c r="G13" i="2"/>
  <c r="G153" i="2"/>
  <c r="G113" i="2"/>
  <c r="G71" i="2"/>
  <c r="G38" i="2"/>
  <c r="AC37" i="2"/>
  <c r="G150" i="2"/>
  <c r="G82" i="2"/>
  <c r="G138" i="2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AC152" i="2"/>
  <c r="AC151" i="2"/>
  <c r="AC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AC115" i="2"/>
  <c r="AC114" i="2"/>
  <c r="AC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<sst xmlns="http://schemas.openxmlformats.org/spreadsheetml/2006/main" count="1873" uniqueCount="884">
  <si>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</si>
  <si>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</si>
  <si>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</si>
  <si>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</si>
  <si>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</si>
  <si>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</si>
  <si>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</si>
  <si>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</si>
  <si>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</si>
  <si>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</si>
  <si>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</si>
  <si>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</si>
  <si>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</si>
  <si>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</si>
  <si>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</si>
  <si>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</si>
  <si>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</si>
  <si>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</si>
  <si>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</si>
  <si>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</si>
  <si>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</si>
  <si>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</si>
  <si>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</si>
  <si>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</si>
  <si>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</si>
  <si>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</si>
  <si>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</si>
  <si>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</si>
  <si>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</si>
  <si>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</si>
  <si>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</si>
  <si>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</si>
  <si>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</si>
  <si>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</si>
  <si>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</si>
  <si>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</si>
  <si>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</si>
  <si>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</si>
  <si>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</si>
  <si>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</si>
  <si>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</si>
  <si>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</si>
  <si>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</si>
  <si>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</si>
  <si>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</si>
  <si>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</si>
  <si>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</si>
  <si>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</si>
  <si>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</si>
  <si>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</si>
  <si>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</si>
  <si>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</si>
  <si>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</si>
  <si>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</si>
  <si>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</si>
  <si>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</si>
  <si>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</si>
  <si>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</si>
  <si>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</si>
  <si>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</si>
  <si>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</si>
  <si>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</si>
  <si>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</si>
  <si>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</si>
  <si>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</si>
  <si>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</si>
  <si>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</si>
  <si>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</si>
  <si>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</si>
  <si>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</si>
  <si>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</si>
  <si>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</si>
  <si>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</si>
  <si>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</si>
  <si>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</si>
  <si>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</si>
  <si>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</si>
  <si>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</si>
  <si>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</si>
  <si>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</si>
  <si>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</si>
  <si>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</si>
  <si>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</si>
  <si>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</si>
  <si>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</si>
  <si>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</si>
  <si>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</si>
  <si>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</si>
  <si>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</si>
  <si>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</si>
  <si>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</si>
  <si>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</si>
  <si>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</si>
  <si>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</si>
  <si>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</si>
  <si>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</si>
  <si>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</si>
  <si>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</si>
  <si>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</si>
  <si>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</si>
  <si>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</si>
  <si>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</si>
  <si>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</si>
  <si>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</si>
  <si>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</si>
  <si>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</si>
  <si>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</si>
  <si>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</si>
  <si>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</si>
  <si>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</si>
  <si>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</si>
  <si>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</si>
  <si>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</si>
  <si>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</si>
  <si>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</si>
  <si>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</si>
  <si>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</si>
  <si>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</si>
  <si>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</si>
  <si>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</si>
  <si>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</si>
  <si>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</si>
  <si>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</si>
  <si>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</si>
  <si>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</si>
  <si>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</si>
  <si>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</si>
  <si>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</si>
  <si>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</si>
  <si>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</si>
  <si>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</si>
  <si>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</si>
  <si>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</si>
  <si>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</si>
  <si>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</si>
  <si>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</si>
  <si>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</si>
  <si>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</si>
  <si>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</si>
  <si>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</si>
  <si>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</si>
  <si>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</si>
  <si>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</si>
  <si>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</si>
  <si>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</si>
  <si>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</si>
  <si>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</si>
  <si>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</si>
  <si>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</si>
  <si>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</si>
  <si>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</si>
  <si>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</si>
  <si>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</si>
  <si>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</si>
  <si>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</si>
  <si>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</si>
  <si>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</si>
  <si>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</si>
  <si>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</si>
  <si>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</si>
  <si>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</si>
  <si>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</si>
  <si>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</si>
  <si>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</si>
  <si>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</si>
  <si>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</si>
  <si>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</si>
  <si>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</si>
  <si>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</si>
  <si>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</si>
  <si>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</si>
  <si>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</si>
  <si>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</si>
  <si>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</si>
  <si>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</si>
  <si>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</si>
  <si>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</si>
  <si>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</si>
  <si>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</si>
  <si>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</si>
  <si>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</si>
  <si>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</si>
  <si>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</si>
  <si>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</si>
  <si>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</si>
  <si>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</si>
  <si>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</si>
  <si>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</si>
  <si>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</si>
  <si>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</si>
  <si>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</si>
  <si>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</si>
  <si>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</si>
  <si>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</si>
  <si>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</si>
  <si>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</si>
  <si>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</si>
  <si>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</si>
  <si>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</si>
  <si>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</si>
  <si>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</si>
  <si>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</si>
  <si>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</si>
  <si>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</si>
  <si>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</si>
  <si>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</si>
  <si>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</si>
  <si>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</si>
  <si>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</si>
  <si>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</si>
  <si>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</si>
  <si>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</si>
  <si>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</si>
  <si>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</si>
  <si>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</si>
  <si>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</si>
  <si>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</si>
  <si>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</si>
  <si>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</si>
  <si>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</si>
  <si>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</si>
  <si>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</si>
  <si>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</si>
  <si>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</si>
  <si>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</si>
  <si>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</si>
  <si>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</si>
  <si>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</si>
  <si>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</si>
  <si>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</si>
  <si>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</si>
  <si>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</si>
  <si>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</si>
  <si>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</si>
  <si>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</si>
  <si>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</si>
  <si>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</si>
  <si>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</si>
  <si>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</si>
  <si>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</si>
  <si>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</si>
  <si>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</si>
  <si>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</si>
  <si>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</si>
  <si>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</si>
  <si>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</si>
  <si>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</si>
  <si>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</si>
  <si>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</si>
  <si>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</si>
  <si>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</si>
  <si>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</si>
  <si>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</si>
  <si>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</si>
  <si>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</si>
  <si>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</si>
  <si>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</si>
  <si>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</si>
  <si>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</si>
  <si>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</si>
  <si>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</si>
  <si>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</si>
  <si>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</si>
  <si>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</si>
  <si>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</si>
  <si>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</si>
  <si>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</si>
  <si>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</si>
  <si>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</si>
  <si>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</si>
  <si>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</si>
  <si>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</si>
  <si>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</si>
  <si>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</si>
  <si>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</si>
  <si>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</si>
  <si>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</si>
  <si>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</si>
  <si>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</si>
  <si>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</si>
  <si>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</si>
  <si>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</si>
  <si>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</si>
  <si>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</si>
  <si>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</si>
  <si>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</si>
  <si>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</si>
  <si>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</si>
  <si>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</si>
  <si>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</si>
  <si>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</si>
  <si>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</si>
  <si>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</si>
  <si>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</si>
  <si>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</si>
  <si>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</si>
  <si>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</si>
  <si>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</si>
  <si>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</si>
  <si>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</si>
  <si>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</si>
  <si>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</si>
  <si>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</si>
  <si>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</si>
  <si>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</si>
  <si>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</si>
  <si>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</si>
  <si>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</si>
  <si>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</si>
  <si>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</si>
  <si>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</si>
  <si>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</si>
  <si>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</si>
  <si>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</si>
  <si>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</si>
  <si>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</si>
  <si>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</si>
  <si>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</si>
  <si>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</si>
  <si>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</si>
  <si>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</si>
  <si>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</si>
  <si>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</si>
  <si>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</si>
  <si>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</si>
  <si>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</si>
  <si>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</si>
  <si>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</si>
  <si>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</si>
  <si>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</si>
  <si>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</si>
  <si>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</si>
  <si>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</si>
  <si>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</si>
  <si>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</si>
  <si>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</si>
  <si>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</si>
  <si>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</si>
  <si>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</si>
  <si>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</si>
  <si>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</si>
  <si>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</si>
  <si>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</si>
  <si>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</si>
  <si>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</si>
  <si>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</si>
  <si>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</si>
  <si>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</si>
  <si>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</si>
  <si>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</si>
  <si>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</si>
  <si>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</si>
  <si>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</si>
  <si>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</si>
  <si>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</si>
  <si>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</si>
  <si>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</si>
  <si>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</si>
  <si>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</si>
  <si>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</si>
  <si>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</si>
  <si>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</si>
  <si>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</si>
  <si>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</si>
  <si>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</si>
  <si>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</si>
  <si>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</si>
  <si>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</si>
  <si>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</si>
  <si>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</si>
  <si>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</si>
  <si>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</si>
  <si>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</si>
  <si>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</si>
  <si>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</si>
  <si>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</si>
  <si>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</si>
  <si>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</si>
  <si>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</si>
  <si>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</si>
  <si>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</si>
  <si>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</si>
  <si>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</si>
  <si>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</si>
  <si>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</si>
  <si>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</si>
  <si>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</si>
  <si>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</si>
  <si>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</si>
  <si>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</si>
  <si>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</si>
  <si>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</si>
  <si>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</si>
  <si>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</si>
  <si>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</si>
  <si>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</si>
  <si>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</si>
  <si>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</si>
  <si>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</si>
  <si>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</si>
  <si>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</si>
  <si>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</si>
  <si>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</si>
  <si>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</si>
  <si>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</si>
  <si>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</si>
  <si>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</si>
  <si>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</si>
  <si>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</si>
  <si>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</si>
  <si>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</si>
  <si>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</si>
  <si>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</si>
  <si>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</si>
  <si>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</si>
  <si>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</si>
  <si>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</si>
  <si>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</si>
  <si>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</si>
  <si>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</si>
  <si>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</si>
  <si>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</si>
  <si>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</si>
  <si>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</si>
  <si>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</si>
  <si>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</si>
  <si>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</si>
  <si>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</si>
  <si>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</si>
  <si>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</si>
  <si>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</si>
  <si>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</si>
  <si>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</si>
  <si>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</si>
  <si>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</si>
  <si>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</si>
  <si>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</si>
  <si>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</si>
  <si>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</si>
  <si>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</si>
  <si>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</si>
  <si>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</si>
  <si>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</si>
  <si>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</si>
  <si>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</si>
  <si>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</si>
  <si>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</si>
  <si>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</si>
  <si>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</si>
  <si>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</si>
  <si>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</si>
  <si>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</si>
  <si>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</si>
  <si>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</si>
  <si>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</si>
  <si>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</si>
  <si>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</si>
  <si>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</si>
  <si>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</si>
  <si>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</si>
  <si>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</si>
  <si>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</si>
  <si>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</si>
  <si>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</si>
  <si>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</si>
  <si>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</si>
  <si>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</si>
  <si>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</si>
  <si>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</si>
  <si>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</si>
  <si>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</si>
  <si>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</si>
  <si>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</si>
  <si>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</si>
  <si>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</si>
  <si>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</si>
  <si>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</si>
  <si>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</si>
  <si>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</si>
  <si>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</si>
  <si>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</si>
  <si>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</si>
  <si>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</si>
  <si>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</si>
  <si>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</si>
  <si>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</si>
  <si>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</si>
  <si>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</si>
  <si>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</si>
  <si>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</si>
  <si>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</si>
  <si>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</si>
  <si>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</si>
  <si>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</si>
  <si>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</si>
  <si>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</si>
  <si>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</si>
  <si>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</si>
  <si>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</si>
  <si>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</si>
  <si>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</si>
  <si>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</si>
  <si>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</si>
  <si>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</si>
  <si>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</si>
  <si>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</si>
  <si>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</si>
  <si>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</si>
  <si>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</si>
  <si>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</si>
  <si>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</si>
  <si>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</si>
  <si>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</si>
  <si>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</si>
  <si>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</si>
  <si>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</si>
  <si>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</si>
  <si>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</si>
  <si>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</si>
  <si>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</si>
  <si>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</si>
  <si>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</si>
  <si>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</si>
  <si>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</si>
  <si>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</si>
  <si>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</si>
  <si>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</si>
  <si>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</si>
  <si>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</si>
  <si>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</si>
  <si>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</si>
  <si>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</si>
  <si>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</si>
  <si>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</si>
  <si>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</si>
  <si>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</si>
  <si>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</si>
  <si>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</si>
  <si>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</si>
  <si>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</si>
  <si>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</si>
  <si>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</si>
  <si>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</si>
  <si>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</si>
  <si>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</si>
  <si>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</si>
  <si>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</si>
  <si>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</si>
  <si>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</si>
  <si>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</si>
  <si>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</si>
  <si>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</si>
  <si>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</si>
  <si>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</si>
  <si>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</si>
  <si>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</si>
  <si>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</si>
  <si>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</si>
  <si>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</si>
  <si>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</si>
  <si>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</si>
  <si>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</si>
  <si>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</si>
  <si>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</si>
  <si>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</si>
  <si>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</si>
  <si>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</si>
  <si>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</si>
  <si>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</si>
  <si>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</si>
  <si>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</si>
  <si>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</si>
  <si>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</si>
  <si>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</si>
  <si>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</si>
  <si>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</si>
  <si>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</si>
  <si>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</si>
  <si>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</si>
  <si>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</si>
  <si>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</si>
  <si>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</si>
  <si>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</si>
  <si>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</si>
  <si>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</si>
  <si>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</si>
  <si>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</si>
  <si>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</si>
  <si>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</si>
  <si>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</si>
  <si>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</si>
  <si>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</si>
  <si>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</si>
  <si>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</si>
  <si>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</si>
  <si>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</si>
  <si>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</si>
  <si>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</si>
  <si>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</si>
  <si>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</si>
  <si>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</si>
  <si>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</si>
  <si>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</si>
  <si>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</si>
  <si>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</si>
  <si>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</si>
  <si>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</si>
  <si>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</si>
  <si>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</si>
  <si>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</si>
  <si>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</si>
  <si>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</si>
  <si>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</si>
  <si>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</si>
  <si>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</si>
  <si>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</si>
  <si>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</si>
  <si>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</si>
  <si>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</si>
  <si>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</si>
  <si>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</si>
  <si>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</si>
  <si>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</si>
  <si>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</si>
  <si>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</si>
  <si>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</si>
  <si>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</si>
  <si>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</si>
  <si>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</si>
  <si>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</si>
  <si>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</si>
  <si>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</si>
  <si>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</si>
  <si>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</si>
  <si>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</si>
  <si>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</si>
  <si>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</si>
  <si>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</si>
  <si>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</si>
  <si>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</si>
  <si>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</si>
  <si>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</si>
  <si>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</si>
  <si>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</si>
  <si>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</si>
  <si>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</si>
  <si>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</si>
  <si>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</si>
  <si>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</si>
  <si>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</si>
  <si>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ENTR. CE-333 p/ CÓRREGO FUNDO (TRAIRI)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</si>
  <si>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</si>
  <si>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</si>
  <si>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</si>
  <si>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</si>
  <si>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</si>
  <si>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</si>
  <si>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</si>
  <si>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</si>
  <si>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</si>
  <si>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</si>
  <si>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</si>
  <si>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</si>
  <si>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</si>
  <si>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</si>
  <si>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</si>
  <si>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</si>
  <si>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</si>
  <si>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</si>
  <si>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</si>
  <si>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</si>
  <si>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</si>
  <si>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</si>
  <si>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</si>
  <si>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</si>
  <si>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</si>
  <si>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</si>
  <si>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</si>
  <si>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</si>
  <si>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</si>
  <si>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</si>
  <si>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</si>
  <si>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</si>
  <si>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</si>
  <si>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</si>
  <si>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</si>
  <si>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</si>
  <si>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</si>
  <si>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</si>
  <si>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</si>
  <si>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</si>
  <si>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</si>
  <si>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</si>
  <si>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</si>
  <si>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</si>
  <si>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</si>
  <si>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</si>
  <si>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</si>
  <si>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</si>
  <si>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</si>
  <si>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</si>
  <si>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</si>
  <si>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</si>
  <si>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</si>
  <si>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</si>
  <si>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</si>
  <si>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</si>
  <si>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</si>
  <si>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</si>
  <si>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</si>
  <si>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</si>
  <si>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</si>
  <si>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</si>
  <si>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</si>
  <si>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</si>
  <si>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</si>
  <si>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</si>
  <si>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</si>
  <si>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</si>
  <si>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</si>
  <si>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</si>
  <si>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</si>
  <si>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</si>
  <si>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</si>
  <si>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</si>
  <si>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</si>
  <si>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</si>
  <si>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</si>
  <si>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</si>
  <si>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</si>
  <si>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</si>
  <si>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</si>
  <si>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</si>
  <si>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</si>
  <si>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</si>
  <si>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</si>
  <si>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</si>
  <si>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</si>
  <si>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</si>
  <si>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</si>
  <si>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</si>
  <si>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</si>
  <si>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</si>
  <si>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</si>
  <si>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</si>
  <si>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</si>
  <si>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</si>
  <si>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</si>
  <si>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</si>
  <si>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</si>
  <si>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</si>
  <si>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</si>
  <si>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</si>
  <si>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</si>
  <si>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</si>
  <si>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</si>
  <si>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</si>
  <si>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</si>
  <si>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</si>
  <si>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</si>
  <si>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</si>
  <si>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</si>
  <si>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</si>
  <si>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</si>
  <si>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</si>
  <si>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</si>
  <si>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</si>
  <si>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</si>
  <si>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</si>
  <si>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</si>
  <si>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</si>
  <si>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</si>
  <si>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</si>
  <si>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</si>
  <si>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</si>
  <si>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</si>
  <si>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</si>
  <si>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</si>
  <si>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</si>
  <si>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</si>
  <si>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</si>
  <si>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</si>
  <si>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</si>
  <si>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</si>
  <si>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</si>
  <si>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</si>
  <si>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</si>
  <si>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</si>
  <si>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</si>
  <si>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</si>
  <si>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</si>
  <si>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</si>
  <si>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</si>
  <si>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</si>
  <si>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</si>
  <si>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</si>
  <si>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</si>
  <si>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</si>
  <si>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</si>
  <si>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</si>
  <si>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</si>
  <si>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</si>
  <si>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</si>
  <si>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</si>
  <si>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</si>
  <si>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</si>
  <si>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</si>
  <si>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</si>
  <si>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</si>
  <si>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</si>
  <si>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</si>
  <si>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</si>
  <si>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</si>
  <si>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</si>
  <si>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</si>
  <si>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</si>
  <si>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</si>
  <si>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</si>
  <si>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</si>
  <si>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</si>
  <si>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</si>
  <si>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</si>
  <si>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</si>
  <si>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</si>
  <si>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</si>
  <si>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</si>
  <si>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</si>
  <si>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</si>
  <si>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</si>
  <si>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</si>
  <si>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</si>
  <si>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</si>
  <si>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</si>
  <si>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</si>
  <si>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</si>
  <si>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</si>
  <si>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</si>
  <si>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</si>
  <si>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</si>
  <si>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</si>
  <si>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</si>
  <si>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</si>
  <si>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</si>
  <si>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</si>
  <si>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</si>
  <si>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</si>
  <si>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</si>
  <si>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</si>
  <si>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</si>
  <si>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</si>
  <si>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</si>
  <si>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</si>
  <si>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</si>
  <si>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</si>
  <si>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</si>
  <si>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</si>
  <si>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</si>
  <si>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</si>
  <si>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</si>
  <si>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</si>
  <si>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</si>
  <si>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</si>
  <si>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</si>
  <si>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</si>
  <si>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</si>
  <si>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</si>
  <si>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</si>
  <si>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</si>
  <si>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</si>
  <si>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</si>
  <si>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</si>
  <si>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</si>
  <si>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</si>
  <si>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</si>
  <si>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</si>
  <si>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</si>
  <si>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</si>
  <si>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</si>
  <si>
    <t>ENTR. CE-275(A) (NOVA FLORESTA</t>
  </si>
  <si>
    <t>ENTR. CE-163(B) p/ TRAIRI</t>
  </si>
  <si>
    <t>085ECE0270D0</t>
  </si>
  <si>
    <t>ENTR BR-116(B)</t>
  </si>
  <si>
    <t>ENTR CE-257</t>
  </si>
  <si>
    <t>122BCE0011S0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</si>
</sst>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22" activePane="bottomLeft" state="frozen"/>
      <selection activeCell="B1" sqref="B1"/>
      <selection pane="bottomLeft" activeCell="F151" sqref="F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785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786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786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786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786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786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786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-3.564063</v>
      </c>
      <c r="D8" s="5">
        <v>-39.971214000000003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786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-3.56412</v>
      </c>
      <c r="D9" s="5">
        <v>-39.969997999999997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786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786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786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-4.1021159999999997</v>
      </c>
      <c r="D12" s="5">
        <v>-38.285411000000003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786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786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786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786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786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786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786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786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786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786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-4.5082250000000004</v>
      </c>
      <c r="D22" s="5">
        <v>-38.358925999999997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786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786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-4.1592560000000001</v>
      </c>
      <c r="D24" s="5">
        <v>-38.683739000000003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786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786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786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786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786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786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786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786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786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786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869</v>
      </c>
      <c r="G34" s="4" t="s">
        <v>299</v>
      </c>
      <c r="H34" s="4" t="s">
        <v>544</v>
      </c>
      <c r="I34" s="4" t="s">
        <v>16</v>
      </c>
      <c r="J34" s="6" t="s">
        <v>786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786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-5.9889840000000003</v>
      </c>
      <c r="D36" s="5">
        <v>-38.626269000000001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786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786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-4.2180660000000003</v>
      </c>
      <c r="D38" s="5">
        <v>-38.474912000000003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786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786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-3.751042</v>
      </c>
      <c r="D41" s="5">
        <v>-40.032590999999996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786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786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786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786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786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786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786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786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786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786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786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786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786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786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-5.9740679999999999</v>
      </c>
      <c r="D55" s="5">
        <v>-38.882722000000001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786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786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771</v>
      </c>
      <c r="F57" s="4" t="s">
        <v>866</v>
      </c>
      <c r="G57" s="4" t="s">
        <v>867</v>
      </c>
      <c r="H57" s="4" t="s">
        <v>868</v>
      </c>
      <c r="I57" s="4" t="s">
        <v>151</v>
      </c>
      <c r="J57" s="6" t="s">
        <v>786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786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-4.1389370000000003</v>
      </c>
      <c r="D59" s="5">
        <v>-38.266637000000003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786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870</v>
      </c>
      <c r="G60" s="4" t="s">
        <v>506</v>
      </c>
      <c r="H60" s="4" t="s">
        <v>871</v>
      </c>
      <c r="I60" s="4" t="s">
        <v>151</v>
      </c>
      <c r="J60" s="6" t="s">
        <v>786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786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876</v>
      </c>
      <c r="G62" s="4" t="s">
        <v>875</v>
      </c>
      <c r="H62" s="4" t="s">
        <v>391</v>
      </c>
      <c r="I62" s="4" t="s">
        <v>151</v>
      </c>
      <c r="J62" s="6" t="s">
        <v>786</v>
      </c>
      <c r="K62" s="6" t="s">
        <v>18</v>
      </c>
    </row>
    <row r="63" spans="1:11" x14ac:dyDescent="0.25">
      <c r="A63" s="1" t="s">
        <v>392</v>
      </c>
      <c r="B63" s="4" t="s">
        <v>393</v>
      </c>
      <c r="C63" s="5">
        <v>-3.5262289999999998</v>
      </c>
      <c r="D63" s="5">
        <v>-39.072856000000002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877</v>
      </c>
      <c r="K63" s="6" t="s">
        <v>18</v>
      </c>
    </row>
    <row r="64" spans="1:11" x14ac:dyDescent="0.25">
      <c r="A64" s="1" t="s">
        <v>397</v>
      </c>
      <c r="B64" s="4" t="s">
        <v>398</v>
      </c>
      <c r="C64" s="5">
        <v>-3.5535730000000001</v>
      </c>
      <c r="D64" s="5">
        <v>-38.884430000000002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877</v>
      </c>
      <c r="K64" s="6" t="s">
        <v>18</v>
      </c>
    </row>
    <row r="65" spans="1:11" hidden="1" x14ac:dyDescent="0.25">
      <c r="A65" s="1" t="s">
        <v>403</v>
      </c>
      <c r="B65" s="4" t="s">
        <v>404</v>
      </c>
      <c r="C65" s="5">
        <v>-3.2705820000000001</v>
      </c>
      <c r="D65" s="5">
        <v>-39.915233000000001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786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786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786</v>
      </c>
      <c r="K67" s="6" t="s">
        <v>18</v>
      </c>
    </row>
    <row r="68" spans="1:11" hidden="1" x14ac:dyDescent="0.25">
      <c r="A68" s="1" t="s">
        <v>420</v>
      </c>
      <c r="B68" s="4" t="s">
        <v>421</v>
      </c>
      <c r="C68" s="5">
        <v>-4.290178</v>
      </c>
      <c r="D68" s="5">
        <v>-38.624884999999999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786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786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786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786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786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786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786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872</v>
      </c>
      <c r="G75" s="4" t="s">
        <v>873</v>
      </c>
      <c r="H75" s="4" t="s">
        <v>874</v>
      </c>
      <c r="I75" s="4" t="s">
        <v>151</v>
      </c>
      <c r="J75" s="6" t="s">
        <v>786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819</v>
      </c>
      <c r="G76" s="4" t="s">
        <v>820</v>
      </c>
      <c r="H76" s="4" t="s">
        <v>821</v>
      </c>
      <c r="I76" s="4" t="s">
        <v>101</v>
      </c>
      <c r="J76" s="6" t="s">
        <v>786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786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786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786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786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786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832</v>
      </c>
      <c r="G82" s="4" t="s">
        <v>486</v>
      </c>
      <c r="H82" s="4" t="s">
        <v>487</v>
      </c>
      <c r="I82" s="4" t="s">
        <v>101</v>
      </c>
      <c r="J82" s="6" t="s">
        <v>786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833</v>
      </c>
      <c r="I83" s="4" t="s">
        <v>101</v>
      </c>
      <c r="J83" s="6" t="s">
        <v>786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786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786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786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786</v>
      </c>
      <c r="K87" s="6" t="s">
        <v>18</v>
      </c>
    </row>
    <row r="88" spans="1:11" hidden="1" x14ac:dyDescent="0.25">
      <c r="A88" s="1" t="s">
        <v>507</v>
      </c>
      <c r="B88" s="4" t="s">
        <v>508</v>
      </c>
      <c r="C88" s="5">
        <v>-3.956655</v>
      </c>
      <c r="D88" s="5">
        <v>-38.350233000000003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786</v>
      </c>
      <c r="K88" s="6" t="s">
        <v>18</v>
      </c>
    </row>
    <row r="89" spans="1:11" hidden="1" x14ac:dyDescent="0.25">
      <c r="A89" s="1" t="s">
        <v>513</v>
      </c>
      <c r="B89" s="4" t="s">
        <v>514</v>
      </c>
      <c r="C89" s="5">
        <v>-4.0347569999999999</v>
      </c>
      <c r="D89" s="5">
        <v>-38.240461000000003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786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786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786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786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786</v>
      </c>
      <c r="K93" s="6" t="s">
        <v>18</v>
      </c>
    </row>
    <row r="94" spans="1:11" hidden="1" x14ac:dyDescent="0.25">
      <c r="A94" s="1" t="s">
        <v>536</v>
      </c>
      <c r="B94" s="4" t="s">
        <v>537</v>
      </c>
      <c r="C94" s="5">
        <v>-5.1157560000000002</v>
      </c>
      <c r="D94" s="5">
        <v>-39.759453000000001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786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834</v>
      </c>
      <c r="G95" s="4" t="s">
        <v>132</v>
      </c>
      <c r="H95" s="4" t="s">
        <v>835</v>
      </c>
      <c r="I95" s="4" t="s">
        <v>151</v>
      </c>
      <c r="J95" s="6" t="s">
        <v>786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786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786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786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786</v>
      </c>
      <c r="K99" s="6" t="s">
        <v>18</v>
      </c>
    </row>
    <row r="100" spans="1:11" hidden="1" x14ac:dyDescent="0.25">
      <c r="A100" s="1" t="s">
        <v>561</v>
      </c>
      <c r="B100" s="4" t="s">
        <v>562</v>
      </c>
      <c r="C100" s="5">
        <v>-6.0284909999999998</v>
      </c>
      <c r="D100" s="5">
        <v>-38.334944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786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786</v>
      </c>
      <c r="K101" s="6" t="s">
        <v>18</v>
      </c>
    </row>
    <row r="102" spans="1:11" hidden="1" x14ac:dyDescent="0.25">
      <c r="A102" s="1" t="s">
        <v>572</v>
      </c>
      <c r="B102" s="4" t="s">
        <v>573</v>
      </c>
      <c r="C102" s="5">
        <v>-4.2261870000000004</v>
      </c>
      <c r="D102" s="5">
        <v>-38.112081000000003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786</v>
      </c>
      <c r="K102" s="6" t="s">
        <v>178</v>
      </c>
    </row>
    <row r="103" spans="1:11" hidden="1" x14ac:dyDescent="0.25">
      <c r="A103" s="1" t="s">
        <v>578</v>
      </c>
      <c r="B103" s="4" t="s">
        <v>579</v>
      </c>
      <c r="C103" s="5">
        <v>-4.2283770000000001</v>
      </c>
      <c r="D103" s="5">
        <v>-38.112941999999997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786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786</v>
      </c>
      <c r="K104" s="6" t="s">
        <v>18</v>
      </c>
    </row>
    <row r="105" spans="1:1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-3.4862440000000001</v>
      </c>
      <c r="D106" s="5">
        <v>-39.13993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877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786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786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786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786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786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786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786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786</v>
      </c>
      <c r="K114" s="6" t="s">
        <v>18</v>
      </c>
    </row>
    <row r="115" spans="1:11" hidden="1" x14ac:dyDescent="0.25">
      <c r="A115" s="1" t="s">
        <v>615</v>
      </c>
      <c r="B115" s="4" t="s">
        <v>616</v>
      </c>
      <c r="C115" s="5">
        <v>-4.4172060000000002</v>
      </c>
      <c r="D115" s="5">
        <v>-38.502341000000001</v>
      </c>
      <c r="E115" s="4" t="s">
        <v>816</v>
      </c>
      <c r="F115" s="4" t="s">
        <v>883</v>
      </c>
      <c r="G115" s="4" t="s">
        <v>881</v>
      </c>
      <c r="H115" s="4" t="s">
        <v>882</v>
      </c>
      <c r="I115" s="4" t="s">
        <v>101</v>
      </c>
      <c r="J115" s="6" t="s">
        <v>786</v>
      </c>
      <c r="K115" s="6" t="s">
        <v>18</v>
      </c>
    </row>
    <row r="116" spans="1:11" hidden="1" x14ac:dyDescent="0.25">
      <c r="A116" s="1" t="s">
        <v>619</v>
      </c>
      <c r="B116" s="4" t="s">
        <v>620</v>
      </c>
      <c r="C116" s="5">
        <v>-3.5105249999999999</v>
      </c>
      <c r="D116" s="5">
        <v>-40.357357</v>
      </c>
      <c r="E116" s="4" t="s">
        <v>235</v>
      </c>
      <c r="F116" s="4" t="s">
        <v>621</v>
      </c>
      <c r="G116" s="4" t="s">
        <v>622</v>
      </c>
      <c r="H116" s="4" t="s">
        <v>623</v>
      </c>
      <c r="I116" s="4" t="s">
        <v>151</v>
      </c>
      <c r="J116" s="6" t="s">
        <v>786</v>
      </c>
      <c r="K116" s="6" t="s">
        <v>18</v>
      </c>
    </row>
    <row r="117" spans="1:11" hidden="1" x14ac:dyDescent="0.25">
      <c r="A117" s="1" t="s">
        <v>624</v>
      </c>
      <c r="B117" s="4" t="s">
        <v>625</v>
      </c>
      <c r="C117" s="5">
        <v>-3.1338309999999998</v>
      </c>
      <c r="D117" s="5">
        <v>-40.838026999999997</v>
      </c>
      <c r="E117" s="4" t="s">
        <v>463</v>
      </c>
      <c r="F117" s="4" t="s">
        <v>626</v>
      </c>
      <c r="G117" s="4" t="s">
        <v>627</v>
      </c>
      <c r="H117" s="4" t="s">
        <v>628</v>
      </c>
      <c r="I117" s="4" t="s">
        <v>101</v>
      </c>
      <c r="J117" s="6" t="s">
        <v>786</v>
      </c>
      <c r="K117" s="6" t="s">
        <v>18</v>
      </c>
    </row>
    <row r="118" spans="1:11" hidden="1" x14ac:dyDescent="0.25">
      <c r="A118" s="1" t="s">
        <v>629</v>
      </c>
      <c r="B118" s="4" t="s">
        <v>630</v>
      </c>
      <c r="C118" s="5">
        <v>-5.0453950000000001</v>
      </c>
      <c r="D118" s="5">
        <v>-37.773105999999999</v>
      </c>
      <c r="E118" s="4" t="s">
        <v>493</v>
      </c>
      <c r="F118" s="4" t="s">
        <v>631</v>
      </c>
      <c r="G118" s="4" t="s">
        <v>632</v>
      </c>
      <c r="H118" s="4" t="s">
        <v>633</v>
      </c>
      <c r="I118" s="4" t="s">
        <v>151</v>
      </c>
      <c r="J118" s="6" t="s">
        <v>786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786</v>
      </c>
      <c r="K119" s="6" t="s">
        <v>18</v>
      </c>
    </row>
    <row r="120" spans="1:11" hidden="1" x14ac:dyDescent="0.25">
      <c r="A120" s="1" t="s">
        <v>634</v>
      </c>
      <c r="B120" s="4" t="s">
        <v>635</v>
      </c>
      <c r="C120" s="5">
        <v>-5.5281140000000004</v>
      </c>
      <c r="D120" s="5">
        <v>-39.517207999999997</v>
      </c>
      <c r="E120" s="4" t="s">
        <v>76</v>
      </c>
      <c r="F120" s="4" t="s">
        <v>636</v>
      </c>
      <c r="G120" s="4" t="s">
        <v>637</v>
      </c>
      <c r="H120" s="4" t="s">
        <v>638</v>
      </c>
      <c r="I120" s="4" t="s">
        <v>101</v>
      </c>
      <c r="J120" s="6" t="s">
        <v>786</v>
      </c>
      <c r="K120" s="6" t="s">
        <v>18</v>
      </c>
    </row>
    <row r="121" spans="1:11" hidden="1" x14ac:dyDescent="0.25">
      <c r="A121" s="1" t="s">
        <v>639</v>
      </c>
      <c r="B121" s="4" t="s">
        <v>640</v>
      </c>
      <c r="C121" s="5">
        <v>-4.3396030000000003</v>
      </c>
      <c r="D121" s="5">
        <v>-38.474690000000002</v>
      </c>
      <c r="E121" s="4" t="s">
        <v>104</v>
      </c>
      <c r="F121" s="4" t="s">
        <v>641</v>
      </c>
      <c r="G121" s="4" t="s">
        <v>642</v>
      </c>
      <c r="H121" s="4" t="s">
        <v>643</v>
      </c>
      <c r="I121" s="4" t="s">
        <v>101</v>
      </c>
      <c r="J121" s="6" t="s">
        <v>786</v>
      </c>
      <c r="K121" s="6" t="s">
        <v>18</v>
      </c>
    </row>
    <row r="122" spans="1:11" hidden="1" x14ac:dyDescent="0.25">
      <c r="A122" s="1" t="s">
        <v>644</v>
      </c>
      <c r="B122" s="4" t="s">
        <v>645</v>
      </c>
      <c r="C122" s="5">
        <v>-4.2869089999999996</v>
      </c>
      <c r="D122" s="5">
        <v>-38.934477999999999</v>
      </c>
      <c r="E122" s="4" t="s">
        <v>36</v>
      </c>
      <c r="F122" s="4" t="s">
        <v>646</v>
      </c>
      <c r="G122" s="4" t="s">
        <v>647</v>
      </c>
      <c r="H122" s="4" t="s">
        <v>83</v>
      </c>
      <c r="I122" s="4" t="s">
        <v>151</v>
      </c>
      <c r="J122" s="6" t="s">
        <v>786</v>
      </c>
      <c r="K122" s="6" t="s">
        <v>18</v>
      </c>
    </row>
    <row r="123" spans="1:11" hidden="1" x14ac:dyDescent="0.25">
      <c r="A123" s="1" t="s">
        <v>648</v>
      </c>
      <c r="B123" s="4" t="s">
        <v>649</v>
      </c>
      <c r="C123" s="5">
        <v>-3.3715929999999998</v>
      </c>
      <c r="D123" s="5">
        <v>-39.298461000000003</v>
      </c>
      <c r="E123" s="4" t="s">
        <v>174</v>
      </c>
      <c r="F123" s="4" t="s">
        <v>880</v>
      </c>
      <c r="G123" s="4" t="s">
        <v>879</v>
      </c>
      <c r="H123" s="4" t="s">
        <v>650</v>
      </c>
      <c r="I123" s="4" t="s">
        <v>151</v>
      </c>
      <c r="J123" s="6" t="s">
        <v>786</v>
      </c>
      <c r="K123" s="6" t="s">
        <v>178</v>
      </c>
    </row>
    <row r="124" spans="1:11" hidden="1" x14ac:dyDescent="0.25">
      <c r="A124" s="1" t="s">
        <v>651</v>
      </c>
      <c r="B124" s="4" t="s">
        <v>652</v>
      </c>
      <c r="C124" s="5">
        <v>-2.8945319999999999</v>
      </c>
      <c r="D124" s="5">
        <v>-40.225693999999997</v>
      </c>
      <c r="E124" s="4" t="s">
        <v>174</v>
      </c>
      <c r="F124" s="4" t="s">
        <v>653</v>
      </c>
      <c r="G124" s="4" t="s">
        <v>654</v>
      </c>
      <c r="H124" s="4" t="s">
        <v>655</v>
      </c>
      <c r="I124" s="4" t="s">
        <v>101</v>
      </c>
      <c r="J124" s="6" t="s">
        <v>786</v>
      </c>
      <c r="K124" s="6" t="s">
        <v>18</v>
      </c>
    </row>
    <row r="125" spans="1:11" hidden="1" x14ac:dyDescent="0.25">
      <c r="A125" s="1" t="s">
        <v>656</v>
      </c>
      <c r="B125" s="4" t="s">
        <v>657</v>
      </c>
      <c r="C125" s="5">
        <v>-4.5809509999999998</v>
      </c>
      <c r="D125" s="5">
        <v>-37.849564000000001</v>
      </c>
      <c r="E125" s="4" t="s">
        <v>25</v>
      </c>
      <c r="F125" s="4" t="s">
        <v>658</v>
      </c>
      <c r="G125" s="4" t="s">
        <v>659</v>
      </c>
      <c r="H125" s="4" t="s">
        <v>27</v>
      </c>
      <c r="I125" s="4" t="s">
        <v>101</v>
      </c>
      <c r="J125" s="6" t="s">
        <v>786</v>
      </c>
      <c r="K125" s="6" t="s">
        <v>18</v>
      </c>
    </row>
    <row r="126" spans="1:11" hidden="1" x14ac:dyDescent="0.25">
      <c r="A126" s="1" t="s">
        <v>660</v>
      </c>
      <c r="B126" s="4" t="s">
        <v>661</v>
      </c>
      <c r="C126" s="5">
        <v>-4.0470699999999997</v>
      </c>
      <c r="D126" s="5">
        <v>-38.206215999999998</v>
      </c>
      <c r="E126" s="4" t="s">
        <v>191</v>
      </c>
      <c r="F126" s="4" t="s">
        <v>662</v>
      </c>
      <c r="G126" s="4" t="s">
        <v>663</v>
      </c>
      <c r="H126" s="4" t="s">
        <v>664</v>
      </c>
      <c r="I126" s="4" t="s">
        <v>101</v>
      </c>
      <c r="J126" s="6" t="s">
        <v>786</v>
      </c>
      <c r="K126" s="6" t="s">
        <v>18</v>
      </c>
    </row>
    <row r="127" spans="1:11" hidden="1" x14ac:dyDescent="0.25">
      <c r="A127" s="1" t="s">
        <v>665</v>
      </c>
      <c r="B127" s="4" t="s">
        <v>666</v>
      </c>
      <c r="C127" s="5">
        <v>-5.4253080000000002</v>
      </c>
      <c r="D127" s="5">
        <v>-38.218938999999999</v>
      </c>
      <c r="E127" s="4" t="s">
        <v>191</v>
      </c>
      <c r="F127" s="4" t="s">
        <v>667</v>
      </c>
      <c r="G127" s="4" t="s">
        <v>668</v>
      </c>
      <c r="H127" s="4" t="s">
        <v>669</v>
      </c>
      <c r="I127" s="4" t="s">
        <v>151</v>
      </c>
      <c r="J127" s="6" t="s">
        <v>786</v>
      </c>
      <c r="K127" s="6" t="s">
        <v>18</v>
      </c>
    </row>
    <row r="128" spans="1:11" hidden="1" x14ac:dyDescent="0.25">
      <c r="A128" s="1" t="s">
        <v>670</v>
      </c>
      <c r="B128" s="4" t="s">
        <v>671</v>
      </c>
      <c r="C128" s="5">
        <v>-5.3554180000000002</v>
      </c>
      <c r="D128" s="5">
        <v>-38.916642000000003</v>
      </c>
      <c r="E128" s="4" t="s">
        <v>672</v>
      </c>
      <c r="F128" s="4" t="s">
        <v>673</v>
      </c>
      <c r="G128" s="4" t="s">
        <v>674</v>
      </c>
      <c r="H128" s="4" t="s">
        <v>675</v>
      </c>
      <c r="I128" s="4" t="s">
        <v>101</v>
      </c>
      <c r="J128" s="6" t="s">
        <v>786</v>
      </c>
      <c r="K128" s="6" t="s">
        <v>18</v>
      </c>
    </row>
    <row r="129" spans="1:11" hidden="1" x14ac:dyDescent="0.25">
      <c r="A129" s="1" t="s">
        <v>676</v>
      </c>
      <c r="B129" s="4" t="s">
        <v>677</v>
      </c>
      <c r="C129" s="5">
        <v>-5.973643</v>
      </c>
      <c r="D129" s="5">
        <v>-38.883752999999999</v>
      </c>
      <c r="E129" s="4" t="s">
        <v>672</v>
      </c>
      <c r="F129" s="4" t="s">
        <v>678</v>
      </c>
      <c r="G129" s="27" t="s">
        <v>878</v>
      </c>
      <c r="H129" s="4" t="s">
        <v>679</v>
      </c>
      <c r="I129" s="4" t="s">
        <v>101</v>
      </c>
      <c r="J129" s="6" t="s">
        <v>786</v>
      </c>
      <c r="K129" s="6" t="s">
        <v>18</v>
      </c>
    </row>
    <row r="130" spans="1:11" hidden="1" x14ac:dyDescent="0.25">
      <c r="A130" s="1" t="s">
        <v>680</v>
      </c>
      <c r="B130" s="4" t="s">
        <v>681</v>
      </c>
      <c r="C130" s="5">
        <v>-3.6789869999999998</v>
      </c>
      <c r="D130" s="5">
        <v>-38.909970999999999</v>
      </c>
      <c r="E130" s="4" t="s">
        <v>682</v>
      </c>
      <c r="F130" s="4" t="s">
        <v>683</v>
      </c>
      <c r="G130" s="4" t="s">
        <v>684</v>
      </c>
      <c r="H130" s="4" t="s">
        <v>685</v>
      </c>
      <c r="I130" s="4" t="s">
        <v>101</v>
      </c>
      <c r="J130" s="6" t="s">
        <v>786</v>
      </c>
      <c r="K130" s="6" t="s">
        <v>18</v>
      </c>
    </row>
    <row r="131" spans="1:11" hidden="1" x14ac:dyDescent="0.25">
      <c r="A131" s="1" t="s">
        <v>686</v>
      </c>
      <c r="B131" s="4" t="s">
        <v>687</v>
      </c>
      <c r="C131" s="5">
        <v>-4.1621629999999996</v>
      </c>
      <c r="D131" s="5">
        <v>-39.152894000000003</v>
      </c>
      <c r="E131" s="4" t="s">
        <v>688</v>
      </c>
      <c r="F131" s="4" t="s">
        <v>689</v>
      </c>
      <c r="G131" s="4" t="s">
        <v>284</v>
      </c>
      <c r="H131" s="4" t="s">
        <v>167</v>
      </c>
      <c r="I131" s="4" t="s">
        <v>101</v>
      </c>
      <c r="J131" s="6" t="s">
        <v>786</v>
      </c>
      <c r="K131" s="6" t="s">
        <v>18</v>
      </c>
    </row>
    <row r="132" spans="1:11" hidden="1" x14ac:dyDescent="0.25">
      <c r="A132" s="1" t="s">
        <v>690</v>
      </c>
      <c r="B132" s="4" t="s">
        <v>691</v>
      </c>
      <c r="C132" s="5">
        <v>-3.3697119999999998</v>
      </c>
      <c r="D132" s="5">
        <v>-39.294021000000001</v>
      </c>
      <c r="E132" s="4" t="s">
        <v>692</v>
      </c>
      <c r="F132" s="4" t="s">
        <v>693</v>
      </c>
      <c r="G132" s="4" t="s">
        <v>694</v>
      </c>
      <c r="H132" s="4" t="s">
        <v>695</v>
      </c>
      <c r="I132" s="4" t="s">
        <v>101</v>
      </c>
      <c r="J132" s="6" t="s">
        <v>786</v>
      </c>
      <c r="K132" s="6" t="s">
        <v>18</v>
      </c>
    </row>
    <row r="133" spans="1:11" hidden="1" x14ac:dyDescent="0.25">
      <c r="A133" s="1" t="s">
        <v>696</v>
      </c>
      <c r="B133" s="4" t="s">
        <v>697</v>
      </c>
      <c r="C133" s="5">
        <v>-5.8117999999999999</v>
      </c>
      <c r="D133" s="5">
        <v>-39.429194000000003</v>
      </c>
      <c r="E133" s="4" t="s">
        <v>197</v>
      </c>
      <c r="F133" s="4" t="s">
        <v>698</v>
      </c>
      <c r="G133" s="4" t="s">
        <v>699</v>
      </c>
      <c r="H133" s="4" t="s">
        <v>700</v>
      </c>
      <c r="I133" s="4" t="s">
        <v>101</v>
      </c>
      <c r="J133" s="6" t="s">
        <v>786</v>
      </c>
      <c r="K133" s="6" t="s">
        <v>18</v>
      </c>
    </row>
    <row r="134" spans="1:11" hidden="1" x14ac:dyDescent="0.25">
      <c r="A134" s="1" t="s">
        <v>701</v>
      </c>
      <c r="B134" s="4" t="s">
        <v>702</v>
      </c>
      <c r="C134" s="5">
        <v>-3.3046380000000002</v>
      </c>
      <c r="D134" s="5">
        <v>-39.514719999999997</v>
      </c>
      <c r="E134" s="4" t="s">
        <v>174</v>
      </c>
      <c r="F134" s="4" t="s">
        <v>703</v>
      </c>
      <c r="G134" s="4" t="s">
        <v>704</v>
      </c>
      <c r="H134" s="4" t="s">
        <v>705</v>
      </c>
      <c r="I134" s="4" t="s">
        <v>101</v>
      </c>
      <c r="J134" s="6" t="s">
        <v>786</v>
      </c>
      <c r="K134" s="6" t="s">
        <v>18</v>
      </c>
    </row>
    <row r="135" spans="1:11" hidden="1" x14ac:dyDescent="0.25">
      <c r="A135" s="1" t="s">
        <v>706</v>
      </c>
      <c r="B135" s="4" t="s">
        <v>707</v>
      </c>
      <c r="C135" s="5">
        <v>-5.1423990000000002</v>
      </c>
      <c r="D135" s="5">
        <v>-39.716183999999998</v>
      </c>
      <c r="E135" s="4" t="s">
        <v>266</v>
      </c>
      <c r="F135" s="4" t="s">
        <v>708</v>
      </c>
      <c r="G135" s="4" t="s">
        <v>709</v>
      </c>
      <c r="H135" s="4" t="s">
        <v>710</v>
      </c>
      <c r="I135" s="4" t="s">
        <v>101</v>
      </c>
      <c r="J135" s="6" t="s">
        <v>786</v>
      </c>
      <c r="K135" s="6" t="s">
        <v>18</v>
      </c>
    </row>
    <row r="136" spans="1:11" hidden="1" x14ac:dyDescent="0.25">
      <c r="A136" s="1" t="s">
        <v>711</v>
      </c>
      <c r="B136" s="4" t="s">
        <v>712</v>
      </c>
      <c r="C136" s="5">
        <v>-3.4763199999999999</v>
      </c>
      <c r="D136" s="5">
        <v>-39.631295999999999</v>
      </c>
      <c r="E136" s="4" t="s">
        <v>48</v>
      </c>
      <c r="F136" s="4" t="s">
        <v>713</v>
      </c>
      <c r="G136" s="4" t="s">
        <v>613</v>
      </c>
      <c r="H136" s="4" t="s">
        <v>714</v>
      </c>
      <c r="I136" s="4" t="s">
        <v>101</v>
      </c>
      <c r="J136" s="6" t="s">
        <v>786</v>
      </c>
      <c r="K136" s="6" t="s">
        <v>18</v>
      </c>
    </row>
    <row r="137" spans="1:11" hidden="1" x14ac:dyDescent="0.25">
      <c r="A137" s="1" t="s">
        <v>715</v>
      </c>
      <c r="B137" s="4" t="s">
        <v>716</v>
      </c>
      <c r="C137" s="5">
        <v>-3.5627770000000001</v>
      </c>
      <c r="D137" s="5">
        <v>-39.970638999999998</v>
      </c>
      <c r="E137" s="4" t="s">
        <v>241</v>
      </c>
      <c r="F137" s="4" t="s">
        <v>717</v>
      </c>
      <c r="G137" s="4" t="s">
        <v>718</v>
      </c>
      <c r="H137" s="4" t="s">
        <v>719</v>
      </c>
      <c r="I137" s="4" t="s">
        <v>151</v>
      </c>
      <c r="J137" s="6" t="s">
        <v>786</v>
      </c>
      <c r="K137" s="6" t="s">
        <v>18</v>
      </c>
    </row>
    <row r="138" spans="1:11" hidden="1" x14ac:dyDescent="0.25">
      <c r="A138" s="1" t="s">
        <v>720</v>
      </c>
      <c r="B138" s="4" t="s">
        <v>721</v>
      </c>
      <c r="C138" s="5">
        <v>-5.4055679999999997</v>
      </c>
      <c r="D138" s="5">
        <v>-40.298172000000001</v>
      </c>
      <c r="E138" s="4" t="s">
        <v>136</v>
      </c>
      <c r="F138" s="4" t="s">
        <v>722</v>
      </c>
      <c r="G138" s="4" t="s">
        <v>723</v>
      </c>
      <c r="H138" s="4" t="s">
        <v>724</v>
      </c>
      <c r="I138" s="4" t="s">
        <v>101</v>
      </c>
      <c r="J138" s="6" t="s">
        <v>786</v>
      </c>
      <c r="K138" s="6" t="s">
        <v>18</v>
      </c>
    </row>
    <row r="139" spans="1:11" hidden="1" x14ac:dyDescent="0.25">
      <c r="A139" s="1" t="s">
        <v>725</v>
      </c>
      <c r="B139" s="4" t="s">
        <v>726</v>
      </c>
      <c r="C139" s="5">
        <v>-2.9586229999999998</v>
      </c>
      <c r="D139" s="5">
        <v>-39.903604000000001</v>
      </c>
      <c r="E139" s="4" t="s">
        <v>174</v>
      </c>
      <c r="F139" s="4" t="s">
        <v>727</v>
      </c>
      <c r="G139" s="4" t="s">
        <v>728</v>
      </c>
      <c r="H139" s="4" t="s">
        <v>729</v>
      </c>
      <c r="I139" s="4" t="s">
        <v>151</v>
      </c>
      <c r="J139" s="6" t="s">
        <v>786</v>
      </c>
      <c r="K139" s="6" t="s">
        <v>18</v>
      </c>
    </row>
    <row r="140" spans="1:11" hidden="1" x14ac:dyDescent="0.25">
      <c r="A140" s="1" t="s">
        <v>730</v>
      </c>
      <c r="B140" s="4" t="s">
        <v>731</v>
      </c>
      <c r="C140" s="5">
        <v>-2.92225</v>
      </c>
      <c r="D140" s="5">
        <v>-40.120244</v>
      </c>
      <c r="E140" s="4" t="s">
        <v>547</v>
      </c>
      <c r="F140" s="4" t="s">
        <v>732</v>
      </c>
      <c r="G140" s="4" t="s">
        <v>733</v>
      </c>
      <c r="H140" s="4" t="s">
        <v>734</v>
      </c>
      <c r="I140" s="4" t="s">
        <v>101</v>
      </c>
      <c r="J140" s="6" t="s">
        <v>786</v>
      </c>
      <c r="K140" s="6" t="s">
        <v>18</v>
      </c>
    </row>
    <row r="141" spans="1:11" hidden="1" x14ac:dyDescent="0.25">
      <c r="A141" s="1" t="s">
        <v>735</v>
      </c>
      <c r="B141" s="4" t="s">
        <v>736</v>
      </c>
      <c r="C141" s="5">
        <v>-3.697114</v>
      </c>
      <c r="D141" s="5">
        <v>-40.304628999999998</v>
      </c>
      <c r="E141" s="4" t="s">
        <v>48</v>
      </c>
      <c r="F141" s="4" t="s">
        <v>737</v>
      </c>
      <c r="G141" s="4" t="s">
        <v>51</v>
      </c>
      <c r="H141" s="4" t="s">
        <v>738</v>
      </c>
      <c r="I141" s="4" t="s">
        <v>151</v>
      </c>
      <c r="J141" s="6" t="s">
        <v>786</v>
      </c>
      <c r="K141" s="6" t="s">
        <v>18</v>
      </c>
    </row>
    <row r="142" spans="1:11" hidden="1" x14ac:dyDescent="0.25">
      <c r="A142" s="1" t="s">
        <v>739</v>
      </c>
      <c r="B142" s="4" t="s">
        <v>740</v>
      </c>
      <c r="C142" s="5">
        <v>-3.7188409999999998</v>
      </c>
      <c r="D142" s="5">
        <v>-40.335732</v>
      </c>
      <c r="E142" s="4" t="s">
        <v>58</v>
      </c>
      <c r="F142" s="4" t="s">
        <v>741</v>
      </c>
      <c r="G142" s="4" t="s">
        <v>742</v>
      </c>
      <c r="H142" s="4" t="s">
        <v>743</v>
      </c>
      <c r="I142" s="4" t="s">
        <v>101</v>
      </c>
      <c r="J142" s="6" t="s">
        <v>786</v>
      </c>
      <c r="K142" s="6" t="s">
        <v>18</v>
      </c>
    </row>
    <row r="143" spans="1:11" hidden="1" x14ac:dyDescent="0.25">
      <c r="A143" s="1" t="s">
        <v>744</v>
      </c>
      <c r="B143" s="4" t="s">
        <v>745</v>
      </c>
      <c r="C143" s="5">
        <v>-4.0396409999999996</v>
      </c>
      <c r="D143" s="5">
        <v>-40.473917999999998</v>
      </c>
      <c r="E143" s="4" t="s">
        <v>595</v>
      </c>
      <c r="F143" s="4" t="s">
        <v>746</v>
      </c>
      <c r="G143" s="4" t="s">
        <v>598</v>
      </c>
      <c r="H143" s="4" t="s">
        <v>747</v>
      </c>
      <c r="I143" s="4" t="s">
        <v>151</v>
      </c>
      <c r="J143" s="6" t="s">
        <v>786</v>
      </c>
      <c r="K143" s="6" t="s">
        <v>18</v>
      </c>
    </row>
    <row r="144" spans="1:11" hidden="1" x14ac:dyDescent="0.25">
      <c r="A144" s="1" t="s">
        <v>748</v>
      </c>
      <c r="B144" s="4" t="s">
        <v>749</v>
      </c>
      <c r="C144" s="5">
        <v>-4.1137740000000003</v>
      </c>
      <c r="D144" s="5">
        <v>-40.863508000000003</v>
      </c>
      <c r="E144" s="4" t="s">
        <v>208</v>
      </c>
      <c r="F144" s="4" t="s">
        <v>750</v>
      </c>
      <c r="G144" s="4" t="s">
        <v>751</v>
      </c>
      <c r="H144" s="4" t="s">
        <v>752</v>
      </c>
      <c r="I144" s="4" t="s">
        <v>101</v>
      </c>
      <c r="J144" s="6" t="s">
        <v>786</v>
      </c>
      <c r="K144" s="6" t="s">
        <v>18</v>
      </c>
    </row>
    <row r="145" spans="1:11" hidden="1" x14ac:dyDescent="0.25">
      <c r="A145" s="1" t="s">
        <v>753</v>
      </c>
      <c r="B145" s="4" t="s">
        <v>754</v>
      </c>
      <c r="C145" s="5">
        <v>-4.5583349999999996</v>
      </c>
      <c r="D145" s="5">
        <v>-40.729585999999998</v>
      </c>
      <c r="E145" s="4" t="s">
        <v>606</v>
      </c>
      <c r="F145" s="4" t="s">
        <v>755</v>
      </c>
      <c r="G145" s="4" t="s">
        <v>756</v>
      </c>
      <c r="H145" s="4" t="s">
        <v>757</v>
      </c>
      <c r="I145" s="4" t="s">
        <v>101</v>
      </c>
      <c r="J145" s="6" t="s">
        <v>786</v>
      </c>
      <c r="K145" s="6" t="s">
        <v>18</v>
      </c>
    </row>
    <row r="146" spans="1:11" hidden="1" x14ac:dyDescent="0.25">
      <c r="A146" s="1" t="s">
        <v>758</v>
      </c>
      <c r="B146" s="4" t="s">
        <v>759</v>
      </c>
      <c r="C146" s="5">
        <v>-5.1463979999999996</v>
      </c>
      <c r="D146" s="5">
        <v>-40.670636000000002</v>
      </c>
      <c r="E146" s="4" t="s">
        <v>606</v>
      </c>
      <c r="F146" s="4" t="s">
        <v>760</v>
      </c>
      <c r="G146" s="4" t="s">
        <v>761</v>
      </c>
      <c r="H146" s="4" t="s">
        <v>762</v>
      </c>
      <c r="I146" s="4" t="s">
        <v>101</v>
      </c>
      <c r="J146" s="6" t="s">
        <v>786</v>
      </c>
      <c r="K146" s="6" t="s">
        <v>18</v>
      </c>
    </row>
    <row r="147" spans="1:11" hidden="1" x14ac:dyDescent="0.25">
      <c r="A147" s="1" t="s">
        <v>763</v>
      </c>
      <c r="B147" s="4" t="s">
        <v>764</v>
      </c>
      <c r="C147" s="5">
        <v>-4.1471960000000001</v>
      </c>
      <c r="D147" s="5">
        <v>-40.945563999999997</v>
      </c>
      <c r="E147" s="4" t="s">
        <v>765</v>
      </c>
      <c r="F147" s="4" t="s">
        <v>766</v>
      </c>
      <c r="G147" s="4" t="s">
        <v>767</v>
      </c>
      <c r="H147" s="4" t="s">
        <v>768</v>
      </c>
      <c r="I147" s="4" t="s">
        <v>101</v>
      </c>
      <c r="J147" s="6" t="s">
        <v>786</v>
      </c>
      <c r="K147" s="6" t="s">
        <v>306</v>
      </c>
    </row>
    <row r="148" spans="1:11" hidden="1" x14ac:dyDescent="0.25">
      <c r="A148" s="1" t="s">
        <v>769</v>
      </c>
      <c r="B148" s="4" t="s">
        <v>770</v>
      </c>
      <c r="C148" s="5">
        <v>-3.521487</v>
      </c>
      <c r="D148" s="5">
        <v>-40.330056999999996</v>
      </c>
      <c r="E148" s="4" t="s">
        <v>771</v>
      </c>
      <c r="F148" s="4" t="s">
        <v>772</v>
      </c>
      <c r="G148" s="4" t="s">
        <v>773</v>
      </c>
      <c r="H148" s="4" t="s">
        <v>774</v>
      </c>
      <c r="I148" s="4" t="s">
        <v>151</v>
      </c>
      <c r="J148" s="6" t="s">
        <v>786</v>
      </c>
      <c r="K148" s="6" t="s">
        <v>18</v>
      </c>
    </row>
    <row r="149" spans="1:11" hidden="1" x14ac:dyDescent="0.25">
      <c r="A149" s="1" t="s">
        <v>775</v>
      </c>
      <c r="B149" s="4" t="s">
        <v>776</v>
      </c>
      <c r="C149" s="5">
        <v>-3.5194079999999999</v>
      </c>
      <c r="D149" s="5">
        <v>-40.361950999999998</v>
      </c>
      <c r="E149" s="4" t="s">
        <v>771</v>
      </c>
      <c r="F149" s="4" t="s">
        <v>777</v>
      </c>
      <c r="G149" s="4" t="s">
        <v>778</v>
      </c>
      <c r="H149" s="4" t="s">
        <v>779</v>
      </c>
      <c r="I149" s="4" t="s">
        <v>101</v>
      </c>
      <c r="J149" s="6" t="s">
        <v>786</v>
      </c>
      <c r="K149" s="6" t="s">
        <v>18</v>
      </c>
    </row>
    <row r="150" spans="1:11" hidden="1" x14ac:dyDescent="0.25">
      <c r="A150" s="1" t="s">
        <v>780</v>
      </c>
      <c r="B150" s="4" t="s">
        <v>781</v>
      </c>
      <c r="C150" s="5">
        <v>-3.552886</v>
      </c>
      <c r="D150" s="5">
        <v>-40.663702000000001</v>
      </c>
      <c r="E150" s="4" t="s">
        <v>48</v>
      </c>
      <c r="F150" s="4" t="s">
        <v>782</v>
      </c>
      <c r="G150" s="4" t="s">
        <v>783</v>
      </c>
      <c r="H150" s="4" t="s">
        <v>784</v>
      </c>
      <c r="I150" s="4" t="s">
        <v>151</v>
      </c>
      <c r="J150" s="6" t="s">
        <v>786</v>
      </c>
      <c r="K150" s="6" t="s">
        <v>18</v>
      </c>
    </row>
  </sheetData>
  <autoFilter ref="A1:K150" xr:uid="{4DA12617-6B17-4A0E-9E79-EBA6E19B3138}">
    <filterColumn colId="9">
      <filters>
        <filter val="EM ANDAMENTO"/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64"/>
  <sheetViews>
    <sheetView zoomScale="85" zoomScaleNormal="85" workbookViewId="0">
      <selection activeCell="L161" sqref="L161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1" t="s">
        <v>1</v>
      </c>
      <c r="B1" s="32" t="s">
        <v>4</v>
      </c>
      <c r="C1" s="32" t="s">
        <v>5</v>
      </c>
      <c r="D1" s="33" t="s">
        <v>787</v>
      </c>
      <c r="E1" s="33"/>
      <c r="F1" s="34" t="s">
        <v>788</v>
      </c>
      <c r="G1" s="34"/>
      <c r="H1" s="30" t="s">
        <v>789</v>
      </c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28" t="s">
        <v>790</v>
      </c>
    </row>
    <row r="2" spans="1:29" ht="15" customHeight="1" x14ac:dyDescent="0.25">
      <c r="A2" s="31"/>
      <c r="B2" s="32"/>
      <c r="C2" s="32"/>
      <c r="D2" s="33"/>
      <c r="E2" s="33"/>
      <c r="F2" s="34"/>
      <c r="G2" s="34"/>
      <c r="H2" s="29" t="s">
        <v>791</v>
      </c>
      <c r="I2" s="29"/>
      <c r="J2" s="29"/>
      <c r="K2" s="9" t="s">
        <v>792</v>
      </c>
      <c r="L2" s="9" t="s">
        <v>792</v>
      </c>
      <c r="M2" s="30" t="s">
        <v>793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28"/>
    </row>
    <row r="3" spans="1:29" ht="15" customHeight="1" x14ac:dyDescent="0.25">
      <c r="A3" s="31"/>
      <c r="B3" s="32"/>
      <c r="C3" s="32"/>
      <c r="D3" s="33"/>
      <c r="E3" s="33"/>
      <c r="F3" s="34"/>
      <c r="G3" s="34"/>
      <c r="H3" s="8" t="s">
        <v>794</v>
      </c>
      <c r="I3" s="8" t="s">
        <v>795</v>
      </c>
      <c r="J3" s="8" t="s">
        <v>796</v>
      </c>
      <c r="K3" s="7" t="s">
        <v>797</v>
      </c>
      <c r="L3" s="7" t="s">
        <v>798</v>
      </c>
      <c r="M3" s="7" t="s">
        <v>799</v>
      </c>
      <c r="N3" s="7" t="s">
        <v>800</v>
      </c>
      <c r="O3" s="7" t="s">
        <v>801</v>
      </c>
      <c r="P3" s="7" t="s">
        <v>802</v>
      </c>
      <c r="Q3" s="7" t="s">
        <v>803</v>
      </c>
      <c r="R3" s="7" t="s">
        <v>804</v>
      </c>
      <c r="S3" s="7" t="s">
        <v>805</v>
      </c>
      <c r="T3" s="7" t="s">
        <v>806</v>
      </c>
      <c r="U3" s="7" t="s">
        <v>807</v>
      </c>
      <c r="V3" s="7" t="s">
        <v>808</v>
      </c>
      <c r="W3" s="7" t="s">
        <v>809</v>
      </c>
      <c r="X3" s="7" t="s">
        <v>810</v>
      </c>
      <c r="Y3" s="7" t="s">
        <v>811</v>
      </c>
      <c r="Z3" s="7" t="s">
        <v>812</v>
      </c>
      <c r="AA3" s="7" t="s">
        <v>813</v>
      </c>
      <c r="AB3" s="7" t="s">
        <v>814</v>
      </c>
      <c r="AC3" s="28"/>
    </row>
    <row r="4" spans="1:29" ht="104.25" customHeight="1" x14ac:dyDescent="0.25">
      <c r="A4" s="31"/>
      <c r="B4" s="32"/>
      <c r="C4" s="32"/>
      <c r="D4" s="22" t="s">
        <v>2</v>
      </c>
      <c r="E4" s="22" t="s">
        <v>3</v>
      </c>
      <c r="F4" s="34"/>
      <c r="G4" s="34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8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>
        <v>-4.2180660000000003</v>
      </c>
      <c r="E6" s="21">
        <v>-38.474912000000003</v>
      </c>
      <c r="F6" s="20">
        <v>46230</v>
      </c>
      <c r="G6" s="20">
        <f t="shared" ref="G6:G69" si="0">F6+2</f>
        <v>46232</v>
      </c>
      <c r="H6" s="12">
        <v>987</v>
      </c>
      <c r="I6" s="12">
        <v>12170</v>
      </c>
      <c r="J6" s="12">
        <v>167</v>
      </c>
      <c r="K6" s="12">
        <v>1505</v>
      </c>
      <c r="L6" s="12">
        <v>739</v>
      </c>
      <c r="M6" s="12">
        <v>58</v>
      </c>
      <c r="N6" s="12">
        <v>494</v>
      </c>
      <c r="O6" s="12">
        <v>105</v>
      </c>
      <c r="P6" s="12">
        <v>7</v>
      </c>
      <c r="Q6" s="12">
        <v>118</v>
      </c>
      <c r="R6" s="12">
        <v>210</v>
      </c>
      <c r="S6" s="12">
        <v>30</v>
      </c>
      <c r="T6" s="12">
        <v>166</v>
      </c>
      <c r="U6" s="12">
        <v>5</v>
      </c>
      <c r="V6" s="12">
        <v>7</v>
      </c>
      <c r="W6" s="12">
        <v>11</v>
      </c>
      <c r="X6" s="12">
        <v>8</v>
      </c>
      <c r="Y6" s="12">
        <v>5</v>
      </c>
      <c r="Z6" s="12">
        <v>27</v>
      </c>
      <c r="AA6" s="12">
        <v>68</v>
      </c>
      <c r="AB6" s="12">
        <v>44</v>
      </c>
      <c r="AC6" s="13">
        <f t="shared" ref="AC6:AC69" si="1">SUM(H6:AB6)</f>
        <v>16931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574</v>
      </c>
      <c r="C13" s="19" t="s">
        <v>815</v>
      </c>
      <c r="D13" s="21">
        <v>-4.1389370000000003</v>
      </c>
      <c r="E13" s="21">
        <v>-38.266637000000003</v>
      </c>
      <c r="F13" s="20">
        <v>46222</v>
      </c>
      <c r="G13" s="20">
        <f t="shared" ref="G13" si="2">F13+2</f>
        <v>46224</v>
      </c>
      <c r="H13" s="12">
        <v>1232</v>
      </c>
      <c r="I13" s="12">
        <v>3637</v>
      </c>
      <c r="J13" s="12">
        <v>20</v>
      </c>
      <c r="K13" s="12">
        <v>256</v>
      </c>
      <c r="L13" s="12">
        <v>50</v>
      </c>
      <c r="M13" s="12">
        <v>17</v>
      </c>
      <c r="N13" s="12">
        <v>26</v>
      </c>
      <c r="O13" s="12">
        <v>2</v>
      </c>
      <c r="P13" s="12">
        <v>0</v>
      </c>
      <c r="Q13" s="12">
        <v>0</v>
      </c>
      <c r="R13" s="12">
        <v>3</v>
      </c>
      <c r="S13" s="12">
        <v>4</v>
      </c>
      <c r="T13" s="12">
        <v>36</v>
      </c>
      <c r="U13" s="12">
        <v>0</v>
      </c>
      <c r="V13" s="12">
        <v>1</v>
      </c>
      <c r="W13" s="12">
        <v>0</v>
      </c>
      <c r="X13" s="12">
        <v>1</v>
      </c>
      <c r="Y13" s="12">
        <v>0</v>
      </c>
      <c r="Z13" s="12">
        <v>3</v>
      </c>
      <c r="AA13" s="12">
        <v>0</v>
      </c>
      <c r="AB13" s="12">
        <v>0</v>
      </c>
      <c r="AC13" s="13">
        <f t="shared" si="1"/>
        <v>5288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836</v>
      </c>
      <c r="E14" s="24" t="s">
        <v>837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838</v>
      </c>
      <c r="E19" s="24" t="s">
        <v>839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3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846</v>
      </c>
      <c r="E23" s="24" t="s">
        <v>847</v>
      </c>
      <c r="F23" s="20">
        <v>46153</v>
      </c>
      <c r="G23" s="20">
        <f t="shared" si="3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customHeight="1" x14ac:dyDescent="0.3">
      <c r="A24" s="19" t="s">
        <v>616</v>
      </c>
      <c r="B24" s="19" t="s">
        <v>617</v>
      </c>
      <c r="C24" s="19" t="s">
        <v>618</v>
      </c>
      <c r="D24" s="21">
        <v>-4.4172060000000002</v>
      </c>
      <c r="E24" s="21">
        <v>-38.502341000000001</v>
      </c>
      <c r="F24" s="20">
        <v>46230</v>
      </c>
      <c r="G24" s="20">
        <f t="shared" si="0"/>
        <v>46232</v>
      </c>
      <c r="H24" s="12">
        <v>340</v>
      </c>
      <c r="I24" s="12">
        <v>3049</v>
      </c>
      <c r="J24" s="12">
        <v>79</v>
      </c>
      <c r="K24" s="12">
        <v>444</v>
      </c>
      <c r="L24" s="12">
        <v>181</v>
      </c>
      <c r="M24" s="12">
        <v>8</v>
      </c>
      <c r="N24" s="12">
        <v>37</v>
      </c>
      <c r="O24" s="12">
        <v>5</v>
      </c>
      <c r="P24" s="12">
        <v>2</v>
      </c>
      <c r="Q24" s="12">
        <v>7</v>
      </c>
      <c r="R24" s="12">
        <v>5</v>
      </c>
      <c r="S24" s="12">
        <v>4</v>
      </c>
      <c r="T24" s="12">
        <v>33</v>
      </c>
      <c r="U24" s="12">
        <v>0</v>
      </c>
      <c r="V24" s="12">
        <v>0</v>
      </c>
      <c r="W24" s="12">
        <v>1</v>
      </c>
      <c r="X24" s="12">
        <v>0</v>
      </c>
      <c r="Y24" s="12">
        <v>0</v>
      </c>
      <c r="Z24" s="12">
        <v>4</v>
      </c>
      <c r="AA24" s="12">
        <v>2</v>
      </c>
      <c r="AB24" s="12">
        <v>0</v>
      </c>
      <c r="AC24" s="13">
        <f t="shared" si="1"/>
        <v>4201</v>
      </c>
    </row>
    <row r="25" spans="1:29" s="14" customFormat="1" ht="24.95" hidden="1" customHeight="1" x14ac:dyDescent="0.3">
      <c r="A25" s="19" t="s">
        <v>620</v>
      </c>
      <c r="B25" s="19" t="s">
        <v>235</v>
      </c>
      <c r="C25" s="19" t="s">
        <v>621</v>
      </c>
      <c r="D25" s="24" t="s">
        <v>856</v>
      </c>
      <c r="E25" s="24" t="s">
        <v>857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625</v>
      </c>
      <c r="B26" s="19" t="s">
        <v>463</v>
      </c>
      <c r="C26" s="19" t="s">
        <v>626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630</v>
      </c>
      <c r="B27" s="19" t="s">
        <v>493</v>
      </c>
      <c r="C27" s="19" t="s">
        <v>631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840</v>
      </c>
      <c r="E28" s="24" t="s">
        <v>841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635</v>
      </c>
      <c r="B29" s="19" t="s">
        <v>76</v>
      </c>
      <c r="C29" s="19" t="s">
        <v>636</v>
      </c>
      <c r="D29" s="24" t="s">
        <v>822</v>
      </c>
      <c r="E29" s="24" t="s">
        <v>823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640</v>
      </c>
      <c r="B30" s="19" t="s">
        <v>104</v>
      </c>
      <c r="C30" s="19" t="s">
        <v>641</v>
      </c>
      <c r="D30" s="21">
        <v>-4.3396030000000003</v>
      </c>
      <c r="E30" s="21">
        <v>-38.474690000000002</v>
      </c>
      <c r="F30" s="20">
        <v>46230</v>
      </c>
      <c r="G30" s="20">
        <f t="shared" si="0"/>
        <v>46232</v>
      </c>
      <c r="H30" s="12">
        <v>453</v>
      </c>
      <c r="I30" s="12">
        <v>6226</v>
      </c>
      <c r="J30" s="12">
        <v>121</v>
      </c>
      <c r="K30" s="12">
        <v>1075</v>
      </c>
      <c r="L30" s="12">
        <v>665</v>
      </c>
      <c r="M30" s="12">
        <v>39</v>
      </c>
      <c r="N30" s="12">
        <v>354</v>
      </c>
      <c r="O30" s="12">
        <v>91</v>
      </c>
      <c r="P30" s="12">
        <v>7</v>
      </c>
      <c r="Q30" s="12">
        <v>139</v>
      </c>
      <c r="R30" s="12">
        <v>253</v>
      </c>
      <c r="S30" s="12">
        <v>13</v>
      </c>
      <c r="T30" s="12">
        <v>140</v>
      </c>
      <c r="U30" s="12">
        <v>6</v>
      </c>
      <c r="V30" s="12">
        <v>3</v>
      </c>
      <c r="W30" s="12">
        <v>11</v>
      </c>
      <c r="X30" s="12">
        <v>7</v>
      </c>
      <c r="Y30" s="12">
        <v>1</v>
      </c>
      <c r="Z30" s="12">
        <v>54</v>
      </c>
      <c r="AA30" s="12">
        <v>109</v>
      </c>
      <c r="AB30" s="12">
        <v>132</v>
      </c>
      <c r="AC30" s="13">
        <f t="shared" si="1"/>
        <v>9899</v>
      </c>
    </row>
    <row r="31" spans="1:29" ht="24.95" hidden="1" customHeight="1" x14ac:dyDescent="0.25">
      <c r="A31" s="19" t="s">
        <v>645</v>
      </c>
      <c r="B31" s="19" t="s">
        <v>36</v>
      </c>
      <c r="C31" s="19" t="s">
        <v>646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649</v>
      </c>
      <c r="B32" s="19" t="s">
        <v>174</v>
      </c>
      <c r="C32" s="19" t="s">
        <v>880</v>
      </c>
      <c r="D32" s="21">
        <v>-3.3715929999999998</v>
      </c>
      <c r="E32" s="21">
        <v>-39.298461000000003</v>
      </c>
      <c r="F32" s="20">
        <v>46225</v>
      </c>
      <c r="G32" s="20">
        <f t="shared" si="0"/>
        <v>46227</v>
      </c>
      <c r="H32" s="12">
        <v>541</v>
      </c>
      <c r="I32" s="12">
        <v>3626</v>
      </c>
      <c r="J32" s="12">
        <v>125</v>
      </c>
      <c r="K32" s="12">
        <v>462</v>
      </c>
      <c r="L32" s="12">
        <v>244</v>
      </c>
      <c r="M32" s="12">
        <v>12</v>
      </c>
      <c r="N32" s="12">
        <v>39</v>
      </c>
      <c r="O32" s="12">
        <v>8</v>
      </c>
      <c r="P32" s="12">
        <v>0</v>
      </c>
      <c r="Q32" s="12">
        <v>6</v>
      </c>
      <c r="R32" s="12">
        <v>31</v>
      </c>
      <c r="S32" s="12">
        <v>12</v>
      </c>
      <c r="T32" s="12">
        <v>58</v>
      </c>
      <c r="U32" s="12">
        <v>0</v>
      </c>
      <c r="V32" s="12">
        <v>0</v>
      </c>
      <c r="W32" s="12">
        <v>2</v>
      </c>
      <c r="X32" s="12">
        <v>0</v>
      </c>
      <c r="Y32" s="12">
        <v>0</v>
      </c>
      <c r="Z32" s="12">
        <v>2</v>
      </c>
      <c r="AA32" s="12">
        <v>2</v>
      </c>
      <c r="AB32" s="12">
        <v>0</v>
      </c>
      <c r="AC32" s="13">
        <f t="shared" si="1"/>
        <v>5170</v>
      </c>
    </row>
    <row r="33" spans="1:29" ht="24.95" hidden="1" customHeight="1" x14ac:dyDescent="0.25">
      <c r="A33" s="19" t="s">
        <v>652</v>
      </c>
      <c r="B33" s="19" t="s">
        <v>174</v>
      </c>
      <c r="C33" s="19" t="s">
        <v>653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657</v>
      </c>
      <c r="B34" s="19" t="s">
        <v>25</v>
      </c>
      <c r="C34" s="19" t="s">
        <v>658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661</v>
      </c>
      <c r="B35" s="19" t="s">
        <v>191</v>
      </c>
      <c r="C35" s="19" t="s">
        <v>662</v>
      </c>
      <c r="D35" s="21">
        <v>-4.0470699999999997</v>
      </c>
      <c r="E35" s="21">
        <v>-38.206215999999998</v>
      </c>
      <c r="F35" s="20">
        <v>46225</v>
      </c>
      <c r="G35" s="20">
        <f t="shared" si="0"/>
        <v>46227</v>
      </c>
      <c r="H35" s="12">
        <v>1481</v>
      </c>
      <c r="I35" s="12">
        <v>2736</v>
      </c>
      <c r="J35" s="12">
        <v>20</v>
      </c>
      <c r="K35" s="12">
        <v>205</v>
      </c>
      <c r="L35" s="12">
        <v>24</v>
      </c>
      <c r="M35" s="12">
        <v>4</v>
      </c>
      <c r="N35" s="12">
        <v>10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23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3">
        <f t="shared" si="1"/>
        <v>4503</v>
      </c>
    </row>
    <row r="36" spans="1:29" ht="24.95" hidden="1" customHeight="1" x14ac:dyDescent="0.25">
      <c r="A36" s="19" t="s">
        <v>666</v>
      </c>
      <c r="B36" s="19" t="s">
        <v>191</v>
      </c>
      <c r="C36" s="19" t="s">
        <v>667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671</v>
      </c>
      <c r="B37" s="19" t="s">
        <v>672</v>
      </c>
      <c r="C37" s="19" t="s">
        <v>673</v>
      </c>
      <c r="D37" s="21">
        <v>-5.3554180000000002</v>
      </c>
      <c r="E37" s="21">
        <v>-38.916642000000003</v>
      </c>
      <c r="F37" s="20">
        <v>46216</v>
      </c>
      <c r="G37" s="20">
        <f t="shared" si="0"/>
        <v>46218</v>
      </c>
      <c r="H37" s="12">
        <v>397</v>
      </c>
      <c r="I37" s="12">
        <v>1339</v>
      </c>
      <c r="J37" s="12">
        <v>69</v>
      </c>
      <c r="K37" s="12">
        <v>210</v>
      </c>
      <c r="L37" s="12">
        <v>57</v>
      </c>
      <c r="M37" s="12">
        <v>8</v>
      </c>
      <c r="N37" s="12">
        <v>11</v>
      </c>
      <c r="O37" s="12">
        <v>1</v>
      </c>
      <c r="P37" s="12">
        <v>1</v>
      </c>
      <c r="Q37" s="12">
        <v>2</v>
      </c>
      <c r="R37" s="12">
        <v>8</v>
      </c>
      <c r="S37" s="12">
        <v>0</v>
      </c>
      <c r="T37" s="12">
        <v>22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3</v>
      </c>
      <c r="AC37" s="13">
        <f t="shared" si="1"/>
        <v>2128</v>
      </c>
    </row>
    <row r="38" spans="1:29" ht="24.95" hidden="1" customHeight="1" x14ac:dyDescent="0.25">
      <c r="A38" s="19" t="s">
        <v>677</v>
      </c>
      <c r="B38" s="19" t="s">
        <v>672</v>
      </c>
      <c r="C38" s="19" t="s">
        <v>678</v>
      </c>
      <c r="D38" s="21">
        <v>-5.973643</v>
      </c>
      <c r="E38" s="21">
        <v>-38.883752999999999</v>
      </c>
      <c r="F38" s="20">
        <v>46219</v>
      </c>
      <c r="G38" s="20">
        <f t="shared" si="0"/>
        <v>46221</v>
      </c>
      <c r="H38" s="12">
        <v>373</v>
      </c>
      <c r="I38" s="12">
        <v>1544</v>
      </c>
      <c r="J38" s="12">
        <v>13</v>
      </c>
      <c r="K38" s="12">
        <v>200</v>
      </c>
      <c r="L38" s="12">
        <v>42</v>
      </c>
      <c r="M38" s="12">
        <v>14</v>
      </c>
      <c r="N38" s="12">
        <v>6</v>
      </c>
      <c r="O38" s="12">
        <v>0</v>
      </c>
      <c r="P38" s="12">
        <v>0</v>
      </c>
      <c r="Q38" s="12">
        <v>1</v>
      </c>
      <c r="R38" s="12">
        <v>1</v>
      </c>
      <c r="S38" s="12">
        <v>1</v>
      </c>
      <c r="T38" s="12">
        <v>8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3">
        <f t="shared" si="1"/>
        <v>2203</v>
      </c>
    </row>
    <row r="39" spans="1:29" ht="24.95" hidden="1" customHeight="1" x14ac:dyDescent="0.25">
      <c r="A39" s="19" t="s">
        <v>681</v>
      </c>
      <c r="B39" s="19" t="s">
        <v>682</v>
      </c>
      <c r="C39" s="19" t="s">
        <v>683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687</v>
      </c>
      <c r="B40" s="19" t="s">
        <v>688</v>
      </c>
      <c r="C40" s="19" t="s">
        <v>689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691</v>
      </c>
      <c r="B41" s="19" t="s">
        <v>692</v>
      </c>
      <c r="C41" s="19" t="s">
        <v>693</v>
      </c>
      <c r="D41" s="21">
        <v>-3.3697119999999998</v>
      </c>
      <c r="E41" s="21">
        <v>-39.294021000000001</v>
      </c>
      <c r="F41" s="20">
        <v>46225</v>
      </c>
      <c r="G41" s="20">
        <f t="shared" si="0"/>
        <v>46227</v>
      </c>
      <c r="H41" s="12">
        <v>1236</v>
      </c>
      <c r="I41" s="12">
        <v>2775</v>
      </c>
      <c r="J41" s="12">
        <v>34</v>
      </c>
      <c r="K41" s="12">
        <v>280</v>
      </c>
      <c r="L41" s="12">
        <v>95</v>
      </c>
      <c r="M41" s="12">
        <v>12</v>
      </c>
      <c r="N41" s="12">
        <v>25</v>
      </c>
      <c r="O41" s="12">
        <v>0</v>
      </c>
      <c r="P41" s="12">
        <v>0</v>
      </c>
      <c r="Q41" s="12">
        <v>1</v>
      </c>
      <c r="R41" s="12">
        <v>2</v>
      </c>
      <c r="S41" s="12">
        <v>4</v>
      </c>
      <c r="T41" s="12">
        <v>45</v>
      </c>
      <c r="U41" s="12">
        <v>0</v>
      </c>
      <c r="V41" s="12">
        <v>1</v>
      </c>
      <c r="W41" s="12">
        <v>2</v>
      </c>
      <c r="X41" s="12">
        <v>0</v>
      </c>
      <c r="Y41" s="12">
        <v>0</v>
      </c>
      <c r="Z41" s="12">
        <v>0</v>
      </c>
      <c r="AA41" s="12">
        <v>1</v>
      </c>
      <c r="AB41" s="12">
        <v>0</v>
      </c>
      <c r="AC41" s="13">
        <f t="shared" si="1"/>
        <v>4513</v>
      </c>
    </row>
    <row r="42" spans="1:29" ht="24.95" hidden="1" customHeight="1" x14ac:dyDescent="0.25">
      <c r="A42" s="19" t="s">
        <v>697</v>
      </c>
      <c r="B42" s="19" t="s">
        <v>197</v>
      </c>
      <c r="C42" s="19" t="s">
        <v>698</v>
      </c>
      <c r="D42" s="24" t="s">
        <v>824</v>
      </c>
      <c r="E42" s="24" t="s">
        <v>825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702</v>
      </c>
      <c r="B43" s="19" t="s">
        <v>174</v>
      </c>
      <c r="C43" s="19" t="s">
        <v>703</v>
      </c>
      <c r="D43" s="21">
        <v>-3.3046380000000002</v>
      </c>
      <c r="E43" s="21">
        <v>-39.514719999999997</v>
      </c>
      <c r="F43" s="20">
        <v>46225</v>
      </c>
      <c r="G43" s="20">
        <f t="shared" si="0"/>
        <v>46227</v>
      </c>
      <c r="H43" s="12">
        <v>405</v>
      </c>
      <c r="I43" s="12">
        <v>2994</v>
      </c>
      <c r="J43" s="12">
        <v>77</v>
      </c>
      <c r="K43" s="12">
        <v>319</v>
      </c>
      <c r="L43" s="12">
        <v>150</v>
      </c>
      <c r="M43" s="12">
        <v>6</v>
      </c>
      <c r="N43" s="12">
        <v>20</v>
      </c>
      <c r="O43" s="12">
        <v>4</v>
      </c>
      <c r="P43" s="12">
        <v>0</v>
      </c>
      <c r="Q43" s="12">
        <v>3</v>
      </c>
      <c r="R43" s="12">
        <v>17</v>
      </c>
      <c r="S43" s="12">
        <v>6</v>
      </c>
      <c r="T43" s="12">
        <v>33</v>
      </c>
      <c r="U43" s="12">
        <v>0</v>
      </c>
      <c r="V43" s="12">
        <v>0</v>
      </c>
      <c r="W43" s="12">
        <v>1</v>
      </c>
      <c r="X43" s="12">
        <v>0</v>
      </c>
      <c r="Y43" s="12">
        <v>0</v>
      </c>
      <c r="Z43" s="12">
        <v>1</v>
      </c>
      <c r="AA43" s="12">
        <v>1</v>
      </c>
      <c r="AB43" s="12">
        <v>0</v>
      </c>
      <c r="AC43" s="13">
        <f t="shared" si="1"/>
        <v>4037</v>
      </c>
    </row>
    <row r="44" spans="1:29" ht="24.95" hidden="1" customHeight="1" x14ac:dyDescent="0.25">
      <c r="A44" s="19" t="s">
        <v>707</v>
      </c>
      <c r="B44" s="19" t="s">
        <v>266</v>
      </c>
      <c r="C44" s="19" t="s">
        <v>708</v>
      </c>
      <c r="D44" s="21">
        <v>-5.1423990000000002</v>
      </c>
      <c r="E44" s="21">
        <v>-39.716183999999998</v>
      </c>
      <c r="F44" s="20">
        <v>46216</v>
      </c>
      <c r="G44" s="20">
        <f t="shared" si="0"/>
        <v>46218</v>
      </c>
      <c r="H44" s="12">
        <v>1205</v>
      </c>
      <c r="I44" s="12">
        <v>1017</v>
      </c>
      <c r="J44" s="12">
        <v>10</v>
      </c>
      <c r="K44" s="12">
        <v>140</v>
      </c>
      <c r="L44" s="12">
        <v>33</v>
      </c>
      <c r="M44" s="12">
        <v>6</v>
      </c>
      <c r="N44" s="12">
        <v>3</v>
      </c>
      <c r="O44" s="12">
        <v>0</v>
      </c>
      <c r="P44" s="12">
        <v>3</v>
      </c>
      <c r="Q44" s="12">
        <v>0</v>
      </c>
      <c r="R44" s="12">
        <v>1</v>
      </c>
      <c r="S44" s="12">
        <v>0</v>
      </c>
      <c r="T44" s="12">
        <v>21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1</v>
      </c>
      <c r="AA44" s="12">
        <v>0</v>
      </c>
      <c r="AB44" s="12">
        <v>0</v>
      </c>
      <c r="AC44" s="13">
        <f t="shared" si="1"/>
        <v>2440</v>
      </c>
    </row>
    <row r="45" spans="1:29" ht="24.95" hidden="1" customHeight="1" x14ac:dyDescent="0.25">
      <c r="A45" s="19" t="s">
        <v>712</v>
      </c>
      <c r="B45" s="19" t="s">
        <v>48</v>
      </c>
      <c r="C45" s="19" t="s">
        <v>713</v>
      </c>
      <c r="D45" s="24" t="s">
        <v>848</v>
      </c>
      <c r="E45" s="24" t="s">
        <v>849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716</v>
      </c>
      <c r="B46" s="19" t="s">
        <v>241</v>
      </c>
      <c r="C46" s="19" t="s">
        <v>717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721</v>
      </c>
      <c r="B47" s="19" t="s">
        <v>136</v>
      </c>
      <c r="C47" s="19" t="s">
        <v>722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726</v>
      </c>
      <c r="B48" s="19" t="s">
        <v>174</v>
      </c>
      <c r="C48" s="19" t="s">
        <v>727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731</v>
      </c>
      <c r="B49" s="19" t="s">
        <v>547</v>
      </c>
      <c r="C49" s="19" t="s">
        <v>732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736</v>
      </c>
      <c r="B50" s="19" t="s">
        <v>48</v>
      </c>
      <c r="C50" s="19" t="s">
        <v>737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740</v>
      </c>
      <c r="B51" s="19" t="s">
        <v>58</v>
      </c>
      <c r="C51" s="19" t="s">
        <v>741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745</v>
      </c>
      <c r="B52" s="19" t="s">
        <v>595</v>
      </c>
      <c r="C52" s="19" t="s">
        <v>746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749</v>
      </c>
      <c r="B53" s="19" t="s">
        <v>208</v>
      </c>
      <c r="C53" s="19" t="s">
        <v>750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754</v>
      </c>
      <c r="B54" s="19" t="s">
        <v>606</v>
      </c>
      <c r="C54" s="19" t="s">
        <v>755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759</v>
      </c>
      <c r="B55" s="19" t="s">
        <v>606</v>
      </c>
      <c r="C55" s="19" t="s">
        <v>760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764</v>
      </c>
      <c r="B56" s="19" t="s">
        <v>765</v>
      </c>
      <c r="C56" s="19" t="s">
        <v>766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770</v>
      </c>
      <c r="B57" s="19" t="s">
        <v>771</v>
      </c>
      <c r="C57" s="19" t="s">
        <v>772</v>
      </c>
      <c r="D57" s="24" t="s">
        <v>858</v>
      </c>
      <c r="E57" s="24" t="s">
        <v>859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776</v>
      </c>
      <c r="B58" s="19" t="s">
        <v>771</v>
      </c>
      <c r="C58" s="19" t="s">
        <v>777</v>
      </c>
      <c r="D58" s="24" t="s">
        <v>860</v>
      </c>
      <c r="E58" s="24" t="s">
        <v>861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781</v>
      </c>
      <c r="B59" s="19" t="s">
        <v>48</v>
      </c>
      <c r="C59" s="19" t="s">
        <v>782</v>
      </c>
      <c r="D59" s="24" t="s">
        <v>862</v>
      </c>
      <c r="E59" s="24" t="s">
        <v>863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:G71" si="4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5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>
        <v>-5.9740679999999999</v>
      </c>
      <c r="E71" s="21">
        <v>-38.882722000000001</v>
      </c>
      <c r="F71" s="20">
        <v>46219</v>
      </c>
      <c r="G71" s="20">
        <f t="shared" si="4"/>
        <v>46221</v>
      </c>
      <c r="H71" s="12">
        <v>271</v>
      </c>
      <c r="I71" s="12">
        <v>601</v>
      </c>
      <c r="J71" s="12">
        <v>10</v>
      </c>
      <c r="K71" s="12">
        <v>109</v>
      </c>
      <c r="L71" s="12">
        <v>23</v>
      </c>
      <c r="M71" s="12">
        <v>6</v>
      </c>
      <c r="N71" s="12">
        <v>1</v>
      </c>
      <c r="O71" s="12">
        <v>1</v>
      </c>
      <c r="P71" s="12">
        <v>0</v>
      </c>
      <c r="Q71" s="12">
        <v>2</v>
      </c>
      <c r="R71" s="12">
        <v>0</v>
      </c>
      <c r="S71" s="12">
        <v>1</v>
      </c>
      <c r="T71" s="12">
        <v>9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3">
        <f t="shared" si="5"/>
        <v>1034</v>
      </c>
    </row>
    <row r="72" spans="1:29" ht="24.95" hidden="1" customHeight="1" x14ac:dyDescent="0.25">
      <c r="A72" s="19" t="s">
        <v>372</v>
      </c>
      <c r="B72" s="19" t="s">
        <v>771</v>
      </c>
      <c r="C72" s="19" t="s">
        <v>866</v>
      </c>
      <c r="D72" s="24">
        <v>-3.569178</v>
      </c>
      <c r="E72" s="24">
        <v>-41.161022000000003</v>
      </c>
      <c r="F72" s="20">
        <v>46191</v>
      </c>
      <c r="G72" s="20">
        <f t="shared" ref="G72:G133" si="6">F72+2</f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5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6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5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6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5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6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5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876</v>
      </c>
      <c r="D76" s="21">
        <v>-4.0409189999999997</v>
      </c>
      <c r="E76" s="21">
        <v>-40.474586000000002</v>
      </c>
      <c r="F76" s="20">
        <v>46205</v>
      </c>
      <c r="G76" s="20">
        <f t="shared" si="6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5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6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5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6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5"/>
        <v>0</v>
      </c>
    </row>
    <row r="79" spans="1:29" ht="24.95" hidden="1" customHeight="1" x14ac:dyDescent="0.25">
      <c r="A79" s="19" t="s">
        <v>404</v>
      </c>
      <c r="B79" s="19" t="s">
        <v>405</v>
      </c>
      <c r="C79" s="19" t="s">
        <v>406</v>
      </c>
      <c r="D79" s="21">
        <v>-3.2705820000000001</v>
      </c>
      <c r="E79" s="21">
        <v>-39.915233000000001</v>
      </c>
      <c r="F79" s="20">
        <v>46208</v>
      </c>
      <c r="G79" s="20">
        <f t="shared" si="6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5"/>
        <v>2015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850</v>
      </c>
      <c r="E80" s="24" t="s">
        <v>851</v>
      </c>
      <c r="F80" s="20">
        <v>46153</v>
      </c>
      <c r="G80" s="20">
        <f t="shared" si="6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5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854</v>
      </c>
      <c r="E81" s="24" t="s">
        <v>855</v>
      </c>
      <c r="F81" s="20">
        <v>46153</v>
      </c>
      <c r="G81" s="20">
        <f t="shared" si="6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5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4">
        <v>-4.290178</v>
      </c>
      <c r="E82" s="24">
        <v>-38.624884999999999</v>
      </c>
      <c r="F82" s="20">
        <v>46212</v>
      </c>
      <c r="G82" s="20">
        <f t="shared" si="6"/>
        <v>46214</v>
      </c>
      <c r="H82" s="12">
        <v>1480</v>
      </c>
      <c r="I82" s="12">
        <v>1727</v>
      </c>
      <c r="J82" s="12">
        <v>46</v>
      </c>
      <c r="K82" s="12">
        <v>191</v>
      </c>
      <c r="L82" s="12">
        <v>75</v>
      </c>
      <c r="M82" s="12">
        <v>12</v>
      </c>
      <c r="N82" s="12">
        <v>15</v>
      </c>
      <c r="O82" s="12">
        <v>0</v>
      </c>
      <c r="P82" s="12">
        <v>0</v>
      </c>
      <c r="Q82" s="12">
        <v>4</v>
      </c>
      <c r="R82" s="12">
        <v>2</v>
      </c>
      <c r="S82" s="12">
        <v>0</v>
      </c>
      <c r="T82" s="12">
        <v>27</v>
      </c>
      <c r="U82" s="12">
        <v>1</v>
      </c>
      <c r="V82" s="12">
        <v>0</v>
      </c>
      <c r="W82" s="12">
        <v>0</v>
      </c>
      <c r="X82" s="12">
        <v>0</v>
      </c>
      <c r="Y82" s="12">
        <v>0</v>
      </c>
      <c r="Z82" s="12">
        <v>2</v>
      </c>
      <c r="AA82" s="12">
        <v>1</v>
      </c>
      <c r="AB82" s="12">
        <v>0</v>
      </c>
      <c r="AC82" s="13">
        <f t="shared" si="5"/>
        <v>3583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6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5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6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5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6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5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6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5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6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5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6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5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872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5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826</v>
      </c>
      <c r="E90" s="24" t="s">
        <v>827</v>
      </c>
      <c r="F90" s="20">
        <v>46139</v>
      </c>
      <c r="G90" s="20">
        <f t="shared" si="6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5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6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5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864</v>
      </c>
      <c r="E92" s="24" t="s">
        <v>865</v>
      </c>
      <c r="F92" s="20">
        <v>46159</v>
      </c>
      <c r="G92" s="20">
        <f t="shared" si="6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5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842</v>
      </c>
      <c r="E93" s="24" t="s">
        <v>843</v>
      </c>
      <c r="F93" s="20">
        <v>46142</v>
      </c>
      <c r="G93" s="20">
        <f t="shared" si="6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5"/>
        <v>988</v>
      </c>
    </row>
    <row r="94" spans="1:29" ht="24.95" hidden="1" customHeight="1" x14ac:dyDescent="0.25">
      <c r="A94" s="19" t="s">
        <v>153</v>
      </c>
      <c r="B94" s="19" t="s">
        <v>816</v>
      </c>
      <c r="C94" s="19" t="s">
        <v>817</v>
      </c>
      <c r="D94" s="21">
        <v>-5.0822029999999998</v>
      </c>
      <c r="E94" s="21">
        <v>-39.054245999999999</v>
      </c>
      <c r="F94" s="20">
        <v>46111</v>
      </c>
      <c r="G94" s="20">
        <f t="shared" si="6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5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6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5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828</v>
      </c>
      <c r="E96" s="24" t="s">
        <v>829</v>
      </c>
      <c r="F96" s="20">
        <v>46139</v>
      </c>
      <c r="G96" s="20">
        <f t="shared" si="6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5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830</v>
      </c>
      <c r="E97" s="24" t="s">
        <v>831</v>
      </c>
      <c r="F97" s="20">
        <v>46139</v>
      </c>
      <c r="G97" s="20">
        <f t="shared" si="6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5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6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5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6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5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6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5"/>
        <v>2914</v>
      </c>
    </row>
    <row r="101" spans="1:29" ht="24.95" hidden="1" customHeight="1" x14ac:dyDescent="0.25">
      <c r="A101" s="19" t="s">
        <v>508</v>
      </c>
      <c r="B101" s="19" t="s">
        <v>509</v>
      </c>
      <c r="C101" s="19" t="s">
        <v>510</v>
      </c>
      <c r="D101" s="21">
        <v>-3.956655</v>
      </c>
      <c r="E101" s="21">
        <v>-38.350233000000003</v>
      </c>
      <c r="F101" s="20">
        <v>46225</v>
      </c>
      <c r="G101" s="20">
        <f t="shared" si="6"/>
        <v>46227</v>
      </c>
      <c r="H101" s="12">
        <v>3379</v>
      </c>
      <c r="I101" s="12">
        <v>8053</v>
      </c>
      <c r="J101" s="12">
        <v>100</v>
      </c>
      <c r="K101" s="12">
        <v>617</v>
      </c>
      <c r="L101" s="12">
        <v>87</v>
      </c>
      <c r="M101" s="12">
        <v>33</v>
      </c>
      <c r="N101" s="12">
        <v>133</v>
      </c>
      <c r="O101" s="12">
        <v>1</v>
      </c>
      <c r="P101" s="12">
        <v>1</v>
      </c>
      <c r="Q101" s="12">
        <v>6</v>
      </c>
      <c r="R101" s="12">
        <v>1</v>
      </c>
      <c r="S101" s="12">
        <v>10</v>
      </c>
      <c r="T101" s="12">
        <v>97</v>
      </c>
      <c r="U101" s="12">
        <v>0</v>
      </c>
      <c r="V101" s="12">
        <v>1</v>
      </c>
      <c r="W101" s="12">
        <v>0</v>
      </c>
      <c r="X101" s="12">
        <v>0</v>
      </c>
      <c r="Y101" s="12">
        <v>0</v>
      </c>
      <c r="Z101" s="12">
        <v>0</v>
      </c>
      <c r="AA101" s="12">
        <v>0</v>
      </c>
      <c r="AB101" s="12">
        <v>0</v>
      </c>
      <c r="AC101" s="13">
        <f t="shared" si="5"/>
        <v>12519</v>
      </c>
    </row>
    <row r="102" spans="1:29" ht="24.95" hidden="1" customHeight="1" x14ac:dyDescent="0.25">
      <c r="A102" s="19" t="s">
        <v>514</v>
      </c>
      <c r="B102" s="19" t="s">
        <v>515</v>
      </c>
      <c r="C102" s="19" t="s">
        <v>516</v>
      </c>
      <c r="D102" s="21">
        <v>-4.0347569999999999</v>
      </c>
      <c r="E102" s="21">
        <v>-38.240461000000003</v>
      </c>
      <c r="F102" s="20">
        <v>46225</v>
      </c>
      <c r="G102" s="20">
        <f t="shared" si="6"/>
        <v>46227</v>
      </c>
      <c r="H102" s="12">
        <v>625</v>
      </c>
      <c r="I102" s="12">
        <v>1753</v>
      </c>
      <c r="J102" s="12">
        <v>65</v>
      </c>
      <c r="K102" s="12">
        <v>154</v>
      </c>
      <c r="L102" s="12">
        <v>3</v>
      </c>
      <c r="M102" s="12">
        <v>6</v>
      </c>
      <c r="N102" s="12">
        <v>5</v>
      </c>
      <c r="O102" s="12">
        <v>0</v>
      </c>
      <c r="P102" s="12">
        <v>0</v>
      </c>
      <c r="Q102" s="12">
        <v>0</v>
      </c>
      <c r="R102" s="12">
        <v>0</v>
      </c>
      <c r="S102" s="12">
        <v>1</v>
      </c>
      <c r="T102" s="12">
        <v>9</v>
      </c>
      <c r="U102" s="12">
        <v>0</v>
      </c>
      <c r="V102" s="12">
        <v>0</v>
      </c>
      <c r="W102" s="12">
        <v>0</v>
      </c>
      <c r="X102" s="12">
        <v>0</v>
      </c>
      <c r="Y102" s="12">
        <v>0</v>
      </c>
      <c r="Z102" s="12">
        <v>1</v>
      </c>
      <c r="AA102" s="12">
        <v>0</v>
      </c>
      <c r="AB102" s="12">
        <v>0</v>
      </c>
      <c r="AC102" s="13">
        <f t="shared" si="5"/>
        <v>2622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818</v>
      </c>
      <c r="D103" s="21">
        <v>-4.8596729999999999</v>
      </c>
      <c r="E103" s="21">
        <v>-39.052987999999999</v>
      </c>
      <c r="F103" s="20">
        <v>46111</v>
      </c>
      <c r="G103" s="20">
        <f t="shared" si="6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5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6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5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6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5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5"/>
        <v>6166</v>
      </c>
    </row>
    <row r="107" spans="1:29" ht="24.95" hidden="1" customHeight="1" x14ac:dyDescent="0.25">
      <c r="A107" s="19" t="s">
        <v>537</v>
      </c>
      <c r="B107" s="19" t="s">
        <v>356</v>
      </c>
      <c r="C107" s="19" t="s">
        <v>538</v>
      </c>
      <c r="D107" s="21">
        <v>-5.1157560000000002</v>
      </c>
      <c r="E107" s="21">
        <v>-39.759453000000001</v>
      </c>
      <c r="F107" s="20">
        <v>46216</v>
      </c>
      <c r="G107" s="20">
        <f t="shared" si="6"/>
        <v>46218</v>
      </c>
      <c r="H107" s="12">
        <v>1423</v>
      </c>
      <c r="I107" s="12">
        <v>878</v>
      </c>
      <c r="J107" s="12">
        <v>5</v>
      </c>
      <c r="K107" s="12">
        <v>128</v>
      </c>
      <c r="L107" s="12">
        <v>42</v>
      </c>
      <c r="M107" s="12">
        <v>6</v>
      </c>
      <c r="N107" s="12">
        <v>2</v>
      </c>
      <c r="O107" s="12">
        <v>0</v>
      </c>
      <c r="P107" s="12">
        <v>1</v>
      </c>
      <c r="Q107" s="12">
        <v>2</v>
      </c>
      <c r="R107" s="12">
        <v>0</v>
      </c>
      <c r="S107" s="12">
        <v>0</v>
      </c>
      <c r="T107" s="12">
        <v>24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1</v>
      </c>
      <c r="AA107" s="12">
        <v>0</v>
      </c>
      <c r="AB107" s="12">
        <v>0</v>
      </c>
      <c r="AC107" s="13">
        <f t="shared" si="5"/>
        <v>2512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844</v>
      </c>
      <c r="E108" s="24" t="s">
        <v>845</v>
      </c>
      <c r="F108" s="20">
        <v>46142</v>
      </c>
      <c r="G108" s="20">
        <f t="shared" si="6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5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6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5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6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5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6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5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6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5"/>
        <v>4135</v>
      </c>
    </row>
    <row r="113" spans="1:29" ht="24.95" hidden="1" customHeight="1" x14ac:dyDescent="0.25">
      <c r="A113" s="19" t="s">
        <v>562</v>
      </c>
      <c r="B113" s="19" t="s">
        <v>563</v>
      </c>
      <c r="C113" s="19" t="s">
        <v>564</v>
      </c>
      <c r="D113" s="21">
        <v>-6.0284909999999998</v>
      </c>
      <c r="E113" s="21">
        <v>-38.334944</v>
      </c>
      <c r="F113" s="20">
        <v>46219</v>
      </c>
      <c r="G113" s="20">
        <f t="shared" si="6"/>
        <v>46221</v>
      </c>
      <c r="H113" s="12">
        <v>376</v>
      </c>
      <c r="I113" s="12">
        <v>918</v>
      </c>
      <c r="J113" s="12">
        <v>26</v>
      </c>
      <c r="K113" s="12">
        <v>75</v>
      </c>
      <c r="L113" s="12">
        <v>21</v>
      </c>
      <c r="M113" s="12">
        <v>4</v>
      </c>
      <c r="N113" s="12">
        <v>4</v>
      </c>
      <c r="O113" s="12">
        <v>0</v>
      </c>
      <c r="P113" s="12">
        <v>0</v>
      </c>
      <c r="Q113" s="12">
        <v>3</v>
      </c>
      <c r="R113" s="12">
        <v>2</v>
      </c>
      <c r="S113" s="12">
        <v>0</v>
      </c>
      <c r="T113" s="12">
        <v>9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1</v>
      </c>
      <c r="AA113" s="12">
        <v>0</v>
      </c>
      <c r="AB113" s="12">
        <v>0</v>
      </c>
      <c r="AC113" s="13">
        <f t="shared" si="5"/>
        <v>1439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6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5"/>
        <v>2947</v>
      </c>
    </row>
    <row r="115" spans="1:29" ht="24.95" hidden="1" customHeight="1" x14ac:dyDescent="0.25">
      <c r="A115" s="19" t="s">
        <v>573</v>
      </c>
      <c r="B115" s="19" t="s">
        <v>574</v>
      </c>
      <c r="C115" s="19" t="s">
        <v>575</v>
      </c>
      <c r="D115" s="21">
        <v>-4.2261870000000004</v>
      </c>
      <c r="E115" s="21">
        <v>-38.112081000000003</v>
      </c>
      <c r="F115" s="20">
        <v>46222</v>
      </c>
      <c r="G115" s="20">
        <f t="shared" si="6"/>
        <v>46224</v>
      </c>
      <c r="H115" s="12">
        <v>1392</v>
      </c>
      <c r="I115" s="12">
        <v>8600</v>
      </c>
      <c r="J115" s="12">
        <v>358</v>
      </c>
      <c r="K115" s="12">
        <v>370</v>
      </c>
      <c r="L115" s="12">
        <v>139</v>
      </c>
      <c r="M115" s="12">
        <v>82</v>
      </c>
      <c r="N115" s="12">
        <v>68</v>
      </c>
      <c r="O115" s="12">
        <v>14</v>
      </c>
      <c r="P115" s="12">
        <v>11</v>
      </c>
      <c r="Q115" s="12">
        <v>7</v>
      </c>
      <c r="R115" s="12">
        <v>7</v>
      </c>
      <c r="S115" s="12">
        <v>14</v>
      </c>
      <c r="T115" s="12">
        <v>73</v>
      </c>
      <c r="U115" s="12">
        <v>8</v>
      </c>
      <c r="V115" s="12">
        <v>2</v>
      </c>
      <c r="W115" s="12">
        <v>4</v>
      </c>
      <c r="X115" s="12">
        <v>0</v>
      </c>
      <c r="Y115" s="12">
        <v>3</v>
      </c>
      <c r="Z115" s="12">
        <v>2</v>
      </c>
      <c r="AA115" s="12">
        <v>1</v>
      </c>
      <c r="AB115" s="12">
        <v>0</v>
      </c>
      <c r="AC115" s="13">
        <f t="shared" si="5"/>
        <v>11155</v>
      </c>
    </row>
    <row r="116" spans="1:29" ht="24.95" hidden="1" customHeight="1" x14ac:dyDescent="0.25">
      <c r="A116" s="19" t="s">
        <v>579</v>
      </c>
      <c r="B116" s="19" t="s">
        <v>580</v>
      </c>
      <c r="C116" s="19" t="s">
        <v>581</v>
      </c>
      <c r="D116" s="21">
        <v>-4.2283770000000001</v>
      </c>
      <c r="E116" s="21">
        <v>-38.112941999999997</v>
      </c>
      <c r="F116" s="20">
        <v>46222</v>
      </c>
      <c r="G116" s="20">
        <f t="shared" si="6"/>
        <v>46224</v>
      </c>
      <c r="H116" s="12">
        <v>271</v>
      </c>
      <c r="I116" s="12">
        <v>1985</v>
      </c>
      <c r="J116" s="12">
        <v>4</v>
      </c>
      <c r="K116" s="12">
        <v>31</v>
      </c>
      <c r="L116" s="12">
        <v>8</v>
      </c>
      <c r="M116" s="12">
        <v>1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9</v>
      </c>
      <c r="U116" s="12">
        <v>0</v>
      </c>
      <c r="V116" s="12">
        <v>0</v>
      </c>
      <c r="W116" s="12">
        <v>2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3">
        <f t="shared" si="5"/>
        <v>2311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5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6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5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6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5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6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5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6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5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6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5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6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5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6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5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6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5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>
        <v>-4.1021159999999997</v>
      </c>
      <c r="E126" s="21">
        <v>-38.285411000000003</v>
      </c>
      <c r="F126" s="20">
        <v>46222</v>
      </c>
      <c r="G126" s="20">
        <f t="shared" si="6"/>
        <v>46224</v>
      </c>
      <c r="H126" s="12">
        <v>579</v>
      </c>
      <c r="I126" s="12">
        <v>2341</v>
      </c>
      <c r="J126" s="12">
        <v>31</v>
      </c>
      <c r="K126" s="12">
        <v>161</v>
      </c>
      <c r="L126" s="12">
        <v>31</v>
      </c>
      <c r="M126" s="12">
        <v>8</v>
      </c>
      <c r="N126" s="12">
        <v>11</v>
      </c>
      <c r="O126" s="12">
        <v>6</v>
      </c>
      <c r="P126" s="12">
        <v>0</v>
      </c>
      <c r="Q126" s="12">
        <v>2</v>
      </c>
      <c r="R126" s="12">
        <v>2</v>
      </c>
      <c r="S126" s="12">
        <v>1</v>
      </c>
      <c r="T126" s="12">
        <v>33</v>
      </c>
      <c r="U126" s="12">
        <v>0</v>
      </c>
      <c r="V126" s="12">
        <v>0</v>
      </c>
      <c r="W126" s="12">
        <v>3</v>
      </c>
      <c r="X126" s="12">
        <v>0</v>
      </c>
      <c r="Y126" s="12">
        <v>0</v>
      </c>
      <c r="Z126" s="12">
        <v>5</v>
      </c>
      <c r="AA126" s="12">
        <v>0</v>
      </c>
      <c r="AB126" s="12">
        <v>16</v>
      </c>
      <c r="AC126" s="13">
        <f t="shared" si="5"/>
        <v>3230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6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5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5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5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6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5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6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5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6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5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6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5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7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8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7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8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7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8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>
        <v>-3.564063</v>
      </c>
      <c r="E137" s="21">
        <v>-39.971214000000003</v>
      </c>
      <c r="F137" s="20">
        <v>46208</v>
      </c>
      <c r="G137" s="20">
        <f t="shared" si="7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8"/>
        <v>3587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>
        <v>-3.56412</v>
      </c>
      <c r="E138" s="21">
        <v>-39.969997999999997</v>
      </c>
      <c r="F138" s="20">
        <v>46208</v>
      </c>
      <c r="G138" s="20">
        <f t="shared" si="7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8"/>
        <v>3141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7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8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7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8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7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8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7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8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7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8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7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8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8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8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852</v>
      </c>
      <c r="E147" s="24" t="s">
        <v>853</v>
      </c>
      <c r="F147" s="20">
        <v>46153</v>
      </c>
      <c r="G147" s="20">
        <f t="shared" si="7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8"/>
        <v>2936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>
        <v>-4.5082250000000004</v>
      </c>
      <c r="E148" s="21">
        <v>-38.358925999999997</v>
      </c>
      <c r="F148" s="20">
        <v>46230</v>
      </c>
      <c r="G148" s="20">
        <f t="shared" si="7"/>
        <v>46232</v>
      </c>
      <c r="H148" s="12">
        <v>210</v>
      </c>
      <c r="I148" s="12">
        <v>2176</v>
      </c>
      <c r="J148" s="12">
        <v>25</v>
      </c>
      <c r="K148" s="12">
        <v>394</v>
      </c>
      <c r="L148" s="12">
        <v>175</v>
      </c>
      <c r="M148" s="12">
        <v>16</v>
      </c>
      <c r="N148" s="12">
        <v>35</v>
      </c>
      <c r="O148" s="12">
        <v>14</v>
      </c>
      <c r="P148" s="12">
        <v>0</v>
      </c>
      <c r="Q148" s="12">
        <v>4</v>
      </c>
      <c r="R148" s="12">
        <v>25</v>
      </c>
      <c r="S148" s="12">
        <v>0</v>
      </c>
      <c r="T148" s="12">
        <v>60</v>
      </c>
      <c r="U148" s="12">
        <v>1</v>
      </c>
      <c r="V148" s="12">
        <v>0</v>
      </c>
      <c r="W148" s="12">
        <v>2</v>
      </c>
      <c r="X148" s="12">
        <v>0</v>
      </c>
      <c r="Y148" s="12">
        <v>0</v>
      </c>
      <c r="Z148" s="12">
        <v>3</v>
      </c>
      <c r="AA148" s="12">
        <v>2</v>
      </c>
      <c r="AB148" s="12">
        <v>11</v>
      </c>
      <c r="AC148" s="13">
        <f t="shared" si="8"/>
        <v>3153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7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8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4">
        <v>-4.1592560000000001</v>
      </c>
      <c r="E150" s="24">
        <v>-38.683739000000003</v>
      </c>
      <c r="F150" s="20">
        <v>46212</v>
      </c>
      <c r="G150" s="20">
        <f t="shared" si="7"/>
        <v>46214</v>
      </c>
      <c r="H150" s="12">
        <v>1713</v>
      </c>
      <c r="I150" s="12">
        <v>6130</v>
      </c>
      <c r="J150" s="12">
        <v>379</v>
      </c>
      <c r="K150" s="12">
        <v>1029</v>
      </c>
      <c r="L150" s="12">
        <v>269</v>
      </c>
      <c r="M150" s="12">
        <v>41</v>
      </c>
      <c r="N150" s="12">
        <v>34</v>
      </c>
      <c r="O150" s="12">
        <v>7</v>
      </c>
      <c r="P150" s="12">
        <v>14</v>
      </c>
      <c r="Q150" s="12">
        <v>8</v>
      </c>
      <c r="R150" s="12">
        <v>14</v>
      </c>
      <c r="S150" s="12">
        <v>6</v>
      </c>
      <c r="T150" s="12">
        <v>41</v>
      </c>
      <c r="U150" s="12">
        <v>6</v>
      </c>
      <c r="V150" s="12">
        <v>3</v>
      </c>
      <c r="W150" s="12">
        <v>5</v>
      </c>
      <c r="X150" s="12">
        <v>1</v>
      </c>
      <c r="Y150" s="12">
        <v>1</v>
      </c>
      <c r="Z150" s="12">
        <v>3</v>
      </c>
      <c r="AA150" s="12">
        <v>1</v>
      </c>
      <c r="AB150" s="12">
        <v>0</v>
      </c>
      <c r="AC150" s="13">
        <f t="shared" si="8"/>
        <v>9705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869</v>
      </c>
      <c r="D151" s="24">
        <v>-3.6712609999999999</v>
      </c>
      <c r="E151" s="24">
        <v>-38.815711</v>
      </c>
      <c r="F151" s="20">
        <v>46177</v>
      </c>
      <c r="G151" s="20">
        <f t="shared" si="7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8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7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8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>
        <v>-5.9889840000000003</v>
      </c>
      <c r="E153" s="21">
        <v>-38.626269000000001</v>
      </c>
      <c r="F153" s="20">
        <v>46219</v>
      </c>
      <c r="G153" s="20">
        <f t="shared" si="7"/>
        <v>46221</v>
      </c>
      <c r="H153" s="12">
        <v>289</v>
      </c>
      <c r="I153" s="12">
        <v>793</v>
      </c>
      <c r="J153" s="12">
        <v>17</v>
      </c>
      <c r="K153" s="12">
        <v>125</v>
      </c>
      <c r="L153" s="12">
        <v>42</v>
      </c>
      <c r="M153" s="12">
        <v>6</v>
      </c>
      <c r="N153" s="12">
        <v>7</v>
      </c>
      <c r="O153" s="12">
        <v>0</v>
      </c>
      <c r="P153" s="12">
        <v>0</v>
      </c>
      <c r="Q153" s="12">
        <v>3</v>
      </c>
      <c r="R153" s="12">
        <v>1</v>
      </c>
      <c r="S153" s="12">
        <v>0</v>
      </c>
      <c r="T153" s="12">
        <v>9</v>
      </c>
      <c r="U153" s="12">
        <v>0</v>
      </c>
      <c r="V153" s="12">
        <v>0</v>
      </c>
      <c r="W153" s="12">
        <v>1</v>
      </c>
      <c r="X153" s="12">
        <v>0</v>
      </c>
      <c r="Y153" s="12">
        <v>0</v>
      </c>
      <c r="Z153" s="12">
        <v>0</v>
      </c>
      <c r="AA153" s="12">
        <v>1</v>
      </c>
      <c r="AB153" s="12">
        <v>1</v>
      </c>
      <c r="AC153" s="13">
        <f t="shared" si="8"/>
        <v>1295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  <row r="163" spans="24:24" x14ac:dyDescent="0.25">
      <c r="X163" s="15"/>
    </row>
    <row r="164" spans="24:24" x14ac:dyDescent="0.25">
      <c r="X164" s="15"/>
    </row>
  </sheetData>
  <autoFilter ref="A4:AC153" xr:uid="{1D18A476-0271-4A84-BE9E-901865A86FD3}">
    <filterColumn colId="0">
      <filters>
        <filter val="E 157"/>
        <filter val="P 04"/>
        <filter val="P 34"/>
        <filter val="P 46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2026-07-30T14:03:04Z</dcterms:modified>
</cp:coreProperties>
</file>