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MAPA CONTAGEM PDR\"/>
    </mc:Choice>
  </mc:AlternateContent>
  <xr:revisionPtr revIDLastSave="0" documentId="13_ncr:1_{9CEAA1F1-A981-4E83-AF3F-18EC4805C717}" xr6:coauthVersionLast="47" xr6:coauthVersionMax="47" xr10:uidLastSave="{00000000-0000-0000-0000-000000000000}"/>
  <bookViews>
    <workbookView xWindow="-1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2" i="2" l="1"/>
  <c r="G141" i="2"/>
  <c r="G120" i="2"/>
  <c r="G119" i="2"/>
  <c r="G67" i="2"/>
  <c r="G22" i="2"/>
  <c r="AC153" i="2"/>
  <c r="G153" i="2"/>
  <c r="AC152" i="2"/>
  <c r="AC151" i="2"/>
  <c r="G151" i="2"/>
  <c r="AC150" i="2"/>
  <c r="G150" i="2"/>
  <c r="AC149" i="2"/>
  <c r="G149" i="2"/>
  <c r="AC148" i="2"/>
  <c r="G148" i="2"/>
  <c r="AC147" i="2"/>
  <c r="G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G139" i="2"/>
  <c r="AC138" i="2"/>
  <c r="G138" i="2"/>
  <c r="AC137" i="2"/>
  <c r="G137" i="2"/>
  <c r="AC136" i="2"/>
  <c r="G136" i="2"/>
  <c r="AC135" i="2"/>
  <c r="G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G125" i="2"/>
  <c r="AC124" i="2"/>
  <c r="G124" i="2"/>
  <c r="AC123" i="2"/>
  <c r="G123" i="2"/>
  <c r="AC122" i="2"/>
  <c r="G122" i="2"/>
  <c r="AC121" i="2"/>
  <c r="G121" i="2"/>
  <c r="AC120" i="2"/>
  <c r="AC119" i="2"/>
  <c r="AC118" i="2"/>
  <c r="G118" i="2"/>
  <c r="AC117" i="2"/>
  <c r="G117" i="2"/>
  <c r="AC116" i="2"/>
  <c r="G116" i="2"/>
  <c r="AC115" i="2"/>
  <c r="G115" i="2"/>
  <c r="AC114" i="2"/>
  <c r="G114" i="2"/>
  <c r="AC113" i="2"/>
  <c r="G113" i="2"/>
  <c r="AC112" i="2"/>
  <c r="G112" i="2"/>
  <c r="AC111" i="2"/>
  <c r="G111" i="2"/>
  <c r="AC110" i="2"/>
  <c r="G110" i="2"/>
  <c r="AC109" i="2"/>
  <c r="G109" i="2"/>
  <c r="AC108" i="2"/>
  <c r="G108" i="2"/>
  <c r="AC107" i="2"/>
  <c r="G107" i="2"/>
  <c r="AC106" i="2"/>
  <c r="G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G99" i="2"/>
  <c r="AC98" i="2"/>
  <c r="G98" i="2"/>
  <c r="AC97" i="2"/>
  <c r="G97" i="2"/>
  <c r="AC96" i="2"/>
  <c r="G96" i="2"/>
  <c r="AC95" i="2"/>
  <c r="G95" i="2"/>
  <c r="AC94" i="2"/>
  <c r="G94" i="2"/>
  <c r="AC93" i="2"/>
  <c r="G93" i="2"/>
  <c r="AC92" i="2"/>
  <c r="G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G85" i="2"/>
  <c r="AC84" i="2"/>
  <c r="G84" i="2"/>
  <c r="AC83" i="2"/>
  <c r="G83" i="2"/>
  <c r="AC82" i="2"/>
  <c r="G82" i="2"/>
  <c r="AC81" i="2"/>
  <c r="G81" i="2"/>
  <c r="AC80" i="2"/>
  <c r="G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G70" i="2"/>
  <c r="AC69" i="2"/>
  <c r="G69" i="2"/>
  <c r="AC68" i="2"/>
  <c r="G68" i="2"/>
  <c r="AC67" i="2"/>
  <c r="AC66" i="2"/>
  <c r="G66" i="2"/>
  <c r="AC65" i="2"/>
  <c r="G65" i="2"/>
  <c r="AC64" i="2"/>
  <c r="G64" i="2"/>
  <c r="AC63" i="2"/>
  <c r="G63" i="2"/>
  <c r="AC62" i="2"/>
  <c r="G62" i="2"/>
  <c r="AC61" i="2"/>
  <c r="G61" i="2"/>
  <c r="AC60" i="2"/>
  <c r="G60" i="2"/>
  <c r="AC59" i="2"/>
  <c r="G59" i="2"/>
  <c r="AC58" i="2"/>
  <c r="G58" i="2"/>
  <c r="AC57" i="2"/>
  <c r="G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G49" i="2"/>
  <c r="AC48" i="2"/>
  <c r="G48" i="2"/>
  <c r="AC47" i="2"/>
  <c r="G47" i="2"/>
  <c r="AC46" i="2"/>
  <c r="G46" i="2"/>
  <c r="AC45" i="2"/>
  <c r="G45" i="2"/>
  <c r="AC44" i="2"/>
  <c r="G44" i="2"/>
  <c r="AC43" i="2"/>
  <c r="G43" i="2"/>
  <c r="AC42" i="2"/>
  <c r="G42" i="2"/>
  <c r="AC41" i="2"/>
  <c r="G41" i="2"/>
  <c r="AC40" i="2"/>
  <c r="G40" i="2"/>
  <c r="AC39" i="2"/>
  <c r="G39" i="2"/>
  <c r="AC38" i="2"/>
  <c r="G38" i="2"/>
  <c r="AC37" i="2"/>
  <c r="G37" i="2"/>
  <c r="AC36" i="2"/>
  <c r="G36" i="2"/>
  <c r="AC35" i="2"/>
  <c r="G35" i="2"/>
  <c r="AC34" i="2"/>
  <c r="G34" i="2"/>
  <c r="AC33" i="2"/>
  <c r="G33" i="2"/>
  <c r="AC32" i="2"/>
  <c r="G32" i="2"/>
  <c r="AC31" i="2"/>
  <c r="G31" i="2"/>
  <c r="AC30" i="2"/>
  <c r="G30" i="2"/>
  <c r="AC29" i="2"/>
  <c r="G29" i="2"/>
  <c r="AC28" i="2"/>
  <c r="G28" i="2"/>
  <c r="AC27" i="2"/>
  <c r="G27" i="2"/>
  <c r="AC26" i="2"/>
  <c r="G26" i="2"/>
  <c r="AC25" i="2"/>
  <c r="G25" i="2"/>
  <c r="AC24" i="2"/>
  <c r="G24" i="2"/>
  <c r="AC23" i="2"/>
  <c r="G23" i="2"/>
  <c r="AC22" i="2"/>
  <c r="AC21" i="2"/>
  <c r="G21" i="2"/>
  <c r="AC20" i="2"/>
  <c r="G20" i="2"/>
  <c r="AC19" i="2"/>
  <c r="G19" i="2"/>
  <c r="AC18" i="2"/>
  <c r="G18" i="2"/>
  <c r="AC17" i="2"/>
  <c r="G17" i="2"/>
  <c r="AC16" i="2"/>
  <c r="G16" i="2"/>
  <c r="AC15" i="2"/>
  <c r="G15" i="2"/>
  <c r="AC14" i="2"/>
  <c r="G14" i="2"/>
  <c r="AC13" i="2"/>
  <c r="G13" i="2"/>
  <c r="AC12" i="2"/>
  <c r="G12" i="2"/>
  <c r="AC11" i="2"/>
  <c r="G11" i="2"/>
  <c r="AC10" i="2"/>
  <c r="G10" i="2"/>
  <c r="AC9" i="2"/>
  <c r="G9" i="2"/>
  <c r="AC8" i="2"/>
  <c r="G8" i="2"/>
  <c r="AC7" i="2"/>
  <c r="G7" i="2"/>
  <c r="AC6" i="2"/>
  <c r="G6" i="2"/>
  <c r="AC5" i="2"/>
  <c r="G5" i="2"/>
</calcChain>
</file>

<file path=xl/sharedStrings.xml><?xml version="1.0" encoding="utf-8"?>
<sst xmlns="http://schemas.openxmlformats.org/spreadsheetml/2006/main" count="1853" uniqueCount="865">
  <si>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</si>
  <si>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</si>
  <si>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</si>
  <si>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</si>
  <si>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</si>
  <si>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</si>
  <si>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</si>
  <si>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</si>
  <si>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</si>
  <si>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</si>
  <si>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</si>
  <si>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</si>
  <si>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</si>
  <si>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</si>
  <si>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</si>
  <si>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</si>
  <si>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</si>
  <si>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</si>
  <si>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</si>
  <si>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</si>
  <si>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</si>
  <si>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</si>
  <si>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</si>
  <si>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</si>
  <si>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</si>
  <si>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</si>
  <si>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</si>
  <si>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</si>
  <si>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</si>
  <si>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</si>
  <si>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</si>
  <si>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</si>
  <si>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</si>
  <si>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</si>
  <si>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</si>
  <si>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</si>
  <si>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</si>
  <si>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</si>
  <si>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</si>
  <si>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</si>
  <si>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</si>
  <si>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</si>
  <si>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</si>
  <si>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</si>
  <si>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</si>
  <si>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</si>
  <si>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</si>
  <si>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</si>
  <si>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</si>
  <si>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</si>
  <si>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</si>
  <si>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</si>
  <si>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</si>
  <si>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</si>
  <si>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</si>
  <si>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</si>
  <si>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</si>
  <si>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</si>
  <si>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</si>
  <si>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</si>
  <si>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</si>
  <si>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</si>
  <si>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</si>
  <si>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</si>
  <si>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</si>
  <si>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</si>
  <si>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</si>
  <si>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</si>
  <si>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</si>
  <si>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</si>
  <si>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</si>
  <si>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</si>
  <si>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</si>
  <si>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</si>
  <si>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</si>
  <si>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</si>
  <si>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</si>
  <si>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</si>
  <si>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</si>
  <si>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</si>
  <si>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</si>
  <si>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</si>
  <si>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</si>
  <si>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</si>
  <si>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</si>
  <si>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</si>
  <si>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</si>
  <si>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</si>
  <si>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</si>
  <si>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</si>
  <si>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</si>
  <si>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</si>
  <si>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</si>
  <si>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</si>
  <si>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</si>
  <si>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</si>
  <si>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</si>
  <si>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</si>
  <si>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</si>
  <si>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</si>
  <si>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</si>
  <si>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</si>
  <si>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</si>
  <si>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</si>
  <si>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</si>
  <si>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</si>
  <si>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</si>
  <si>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</si>
  <si>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</si>
  <si>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</si>
  <si>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</si>
  <si>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</si>
  <si>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</si>
  <si>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</si>
  <si>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</si>
  <si>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</si>
  <si>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</si>
  <si>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</si>
  <si>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</si>
  <si>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</si>
  <si>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</si>
  <si>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</si>
  <si>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</si>
  <si>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</si>
  <si>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</si>
  <si>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</si>
  <si>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</si>
  <si>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</si>
  <si>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</si>
  <si>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</si>
  <si>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</si>
  <si>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</si>
  <si>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</si>
  <si>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</si>
  <si>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</si>
  <si>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</si>
  <si>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</si>
  <si>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</si>
  <si>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</si>
  <si>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</si>
  <si>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</si>
  <si>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</si>
  <si>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</si>
  <si>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</si>
  <si>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</si>
  <si>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</si>
  <si>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</si>
  <si>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</si>
  <si>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</si>
  <si>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</si>
  <si>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</si>
  <si>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</si>
  <si>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</si>
  <si>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</si>
  <si>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</si>
  <si>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</si>
  <si>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</si>
  <si>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</si>
  <si>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</si>
  <si>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</si>
  <si>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</si>
  <si>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</si>
  <si>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</si>
  <si>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</si>
  <si>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</si>
  <si>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</si>
  <si>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</si>
  <si>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</si>
  <si>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</si>
  <si>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</si>
  <si>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</si>
  <si>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</si>
  <si>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</si>
  <si>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</si>
  <si>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</si>
  <si>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</si>
  <si>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</si>
  <si>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</si>
  <si>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</si>
  <si>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</si>
  <si>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</si>
  <si>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</si>
  <si>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</si>
  <si>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</si>
  <si>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</si>
  <si>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</si>
  <si>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</si>
  <si>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</si>
  <si>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</si>
  <si>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</si>
  <si>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</si>
  <si>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</si>
  <si>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</si>
  <si>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</si>
  <si>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</si>
  <si>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</si>
  <si>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</si>
  <si>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</si>
  <si>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</si>
  <si>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</si>
  <si>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</si>
  <si>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</si>
  <si>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</si>
  <si>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</si>
  <si>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</si>
  <si>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</si>
  <si>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</si>
  <si>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</si>
  <si>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</si>
  <si>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</si>
  <si>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</si>
  <si>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</si>
  <si>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</si>
  <si>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</si>
  <si>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</si>
  <si>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</si>
  <si>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</si>
  <si>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</si>
  <si>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</si>
  <si>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</si>
  <si>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</si>
  <si>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</si>
  <si>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</si>
  <si>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</si>
  <si>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</si>
  <si>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</si>
  <si>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</si>
  <si>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</si>
  <si>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</si>
  <si>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</si>
  <si>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</si>
  <si>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</si>
  <si>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</si>
  <si>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</si>
  <si>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</si>
  <si>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</si>
  <si>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</si>
  <si>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</si>
  <si>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</si>
  <si>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</si>
  <si>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</si>
  <si>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</si>
  <si>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</si>
  <si>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</si>
  <si>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</si>
  <si>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</si>
  <si>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</si>
  <si>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</si>
  <si>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</si>
  <si>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</si>
  <si>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</si>
  <si>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</si>
  <si>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</si>
  <si>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</si>
  <si>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</si>
  <si>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</si>
  <si>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</si>
  <si>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</si>
  <si>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</si>
  <si>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</si>
  <si>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</si>
  <si>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</si>
  <si>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</si>
  <si>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</si>
  <si>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</si>
  <si>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</si>
  <si>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</si>
  <si>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</si>
  <si>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</si>
  <si>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</si>
  <si>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</si>
  <si>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</si>
  <si>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</si>
  <si>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</si>
  <si>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</si>
  <si>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</si>
  <si>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</si>
  <si>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</si>
  <si>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</si>
  <si>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</si>
  <si>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</si>
  <si>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</si>
  <si>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</si>
  <si>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</si>
  <si>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</si>
  <si>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</si>
  <si>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</si>
  <si>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</si>
  <si>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</si>
  <si>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</si>
  <si>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</si>
  <si>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</si>
  <si>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</si>
  <si>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</si>
  <si>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</si>
  <si>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</si>
  <si>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</si>
  <si>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</si>
  <si>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</si>
  <si>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155ECE0030E0</t>
  </si>
  <si>
    <t>CE-576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</si>
  <si>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</si>
  <si>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</si>
  <si>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</si>
  <si>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</si>
  <si>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</si>
  <si>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</si>
  <si>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</si>
  <si>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</si>
  <si>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</si>
  <si>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</si>
  <si>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</si>
  <si>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</si>
  <si>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</si>
  <si>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</si>
  <si>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</si>
  <si>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</si>
  <si>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</si>
  <si>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</si>
  <si>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</si>
  <si>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</si>
  <si>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</si>
  <si>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</si>
  <si>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</si>
  <si>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</si>
  <si>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</si>
  <si>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</si>
  <si>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</si>
  <si>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</si>
  <si>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</si>
  <si>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</si>
  <si>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</si>
  <si>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</si>
  <si>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</si>
  <si>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</si>
  <si>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</si>
  <si>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</si>
  <si>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</si>
  <si>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</si>
  <si>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</si>
  <si>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</si>
  <si>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</si>
  <si>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</si>
  <si>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</si>
  <si>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</si>
  <si>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</si>
  <si>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</si>
  <si>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</si>
  <si>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</si>
  <si>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</si>
  <si>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</si>
  <si>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</si>
  <si>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</si>
  <si>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</si>
  <si>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</si>
  <si>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</si>
  <si>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</si>
  <si>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</si>
  <si>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</si>
  <si>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</si>
  <si>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</si>
  <si>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</si>
  <si>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</si>
  <si>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</si>
  <si>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</si>
  <si>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</si>
  <si>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</si>
  <si>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</si>
  <si>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</si>
  <si>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</si>
  <si>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</si>
  <si>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</si>
  <si>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</si>
  <si>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</si>
  <si>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</si>
  <si>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CE-313</t>
  </si>
  <si>
    <t>313ECE0110N0</t>
  </si>
  <si>
    <t>ENTR. CE-232(B) (TABAINHA)</t>
  </si>
  <si>
    <t>ENTR. CE-240 (ARAPÁ)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</si>
  <si>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</si>
  <si>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</si>
  <si>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</si>
  <si>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</si>
  <si>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</si>
  <si>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</si>
  <si>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</si>
  <si>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</si>
  <si>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</si>
  <si>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</si>
  <si>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</si>
  <si>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</si>
  <si>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</si>
  <si>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</si>
  <si>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</si>
  <si>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</si>
  <si>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</si>
  <si>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</si>
  <si>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</si>
  <si>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</si>
  <si>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</si>
  <si>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</si>
  <si>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</si>
  <si>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</si>
  <si>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</si>
  <si>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</si>
  <si>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</si>
  <si>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</si>
  <si>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</si>
  <si>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</si>
  <si>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</si>
  <si>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</si>
  <si>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</si>
  <si>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</si>
  <si>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</si>
  <si>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</si>
  <si>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</si>
  <si>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</si>
  <si>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</si>
  <si>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</si>
  <si>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</si>
  <si>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</si>
  <si>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</si>
  <si>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</si>
  <si>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</si>
  <si>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</si>
  <si>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</si>
  <si>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</si>
  <si>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</si>
  <si>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</si>
  <si>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</si>
  <si>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</si>
  <si>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</si>
  <si>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</si>
  <si>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</si>
  <si>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</si>
  <si>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</si>
  <si>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</si>
  <si>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</si>
  <si>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</si>
  <si>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</si>
  <si>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</si>
  <si>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</si>
  <si>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</si>
  <si>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</si>
  <si>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</si>
  <si>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</si>
  <si>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</si>
  <si>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</si>
  <si>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</si>
  <si>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</si>
  <si>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</si>
  <si>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</si>
  <si>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</si>
  <si>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</si>
  <si>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</si>
  <si>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</si>
  <si>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</si>
  <si>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</si>
  <si>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</si>
  <si>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</si>
  <si>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</si>
  <si>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</si>
  <si>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</si>
  <si>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</si>
  <si>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</si>
  <si>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</si>
  <si>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</si>
  <si>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</si>
  <si>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</si>
  <si>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</si>
  <si>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</si>
  <si>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</si>
  <si>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</si>
  <si>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</si>
  <si>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</si>
  <si>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</si>
  <si>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</si>
  <si>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</si>
  <si>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</si>
  <si>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</si>
  <si>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</si>
  <si>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</si>
  <si>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</si>
  <si>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</si>
  <si>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</si>
  <si>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</si>
  <si>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</si>
  <si>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</si>
  <si>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</si>
  <si>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</si>
  <si>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</si>
  <si>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</si>
  <si>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</si>
  <si>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</si>
  <si>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</si>
  <si>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</si>
  <si>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</si>
  <si>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</si>
  <si>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</si>
  <si>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</si>
  <si>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</si>
  <si>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</si>
  <si>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</si>
  <si>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</si>
  <si>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</si>
  <si>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</si>
  <si>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</si>
  <si>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</si>
  <si>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</si>
  <si>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</si>
  <si>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</si>
  <si>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</si>
  <si>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</si>
  <si>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</si>
  <si>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</si>
  <si>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</si>
  <si>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</si>
  <si>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</si>
  <si>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</si>
  <si>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</si>
  <si>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</si>
  <si>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</si>
  <si>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</si>
  <si>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</si>
  <si>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</si>
  <si>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</si>
  <si>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</si>
  <si>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</si>
  <si>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</si>
  <si>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</si>
  <si>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</si>
  <si>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</si>
  <si>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</si>
  <si>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</si>
  <si>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</si>
  <si>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</si>
  <si>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</si>
  <si>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</si>
  <si>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</si>
  <si>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</si>
  <si>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</si>
  <si>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</si>
  <si>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</si>
  <si>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</si>
  <si>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</si>
  <si>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</si>
  <si>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</si>
  <si>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</si>
  <si>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</si>
  <si>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</si>
  <si>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</si>
  <si>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</si>
  <si>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</si>
  <si>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</si>
  <si>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</si>
  <si>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</si>
  <si>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</si>
  <si>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</si>
  <si>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</si>
  <si>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</si>
  <si>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</si>
  <si>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</si>
  <si>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</si>
  <si>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</si>
  <si>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</si>
  <si>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</si>
  <si>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</si>
  <si>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</si>
  <si>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</si>
  <si>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</si>
  <si>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</si>
  <si>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</si>
  <si>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</si>
  <si>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</si>
  <si>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</si>
  <si>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</si>
  <si>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</si>
  <si>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</si>
  <si>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</si>
  <si>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</si>
  <si>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</si>
  <si>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</si>
  <si>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</si>
  <si>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</si>
  <si>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</si>
  <si>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</si>
  <si>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</si>
  <si>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</si>
  <si>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</si>
  <si>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</si>
  <si>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</si>
  <si>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</si>
  <si>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</si>
  <si>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</si>
  <si>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</si>
  <si>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</si>
  <si>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</si>
  <si>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</si>
  <si>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</si>
  <si>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</si>
  <si>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</si>
  <si>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</si>
  <si>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</si>
  <si>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</si>
  <si>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</si>
  <si>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</si>
  <si>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</si>
  <si>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</si>
  <si>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</si>
  <si>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</si>
  <si>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</si>
  <si>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</si>
  <si>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</si>
  <si>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</si>
  <si>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</si>
  <si>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</si>
  <si>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</si>
  <si>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</si>
  <si>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</si>
  <si>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</si>
  <si>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</si>
  <si>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</si>
  <si>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</si>
  <si>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</si>
  <si>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</si>
  <si>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</si>
  <si>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</si>
  <si>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</si>
  <si>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</si>
  <si>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</si>
  <si>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</si>
  <si>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</si>
  <si>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</si>
  <si>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</si>
  <si>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</si>
  <si>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</si>
  <si>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</si>
  <si>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</si>
  <si>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</si>
  <si>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</si>
  <si>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</si>
  <si>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</si>
  <si>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</si>
  <si>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</si>
  <si>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</si>
  <si>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</si>
  <si>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</si>
  <si>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</si>
  <si>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</si>
  <si>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</si>
  <si>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</si>
  <si>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</si>
  <si>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</si>
  <si>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</si>
  <si>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</si>
  <si>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</si>
  <si>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</si>
  <si>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</si>
  <si>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</si>
  <si>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</si>
  <si>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</si>
  <si>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</si>
  <si>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</si>
  <si>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</si>
  <si>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</si>
  <si>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</si>
  <si>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</si>
  <si>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</si>
  <si>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</si>
  <si>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</si>
  <si>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</si>
  <si>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</si>
  <si>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</si>
  <si>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</si>
  <si>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</si>
  <si>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</si>
  <si>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</si>
  <si>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</si>
  <si>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</si>
  <si>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</si>
  <si>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</si>
  <si>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</si>
  <si>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</si>
  <si>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</si>
  <si>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</si>
  <si>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</si>
  <si>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</si>
  <si>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</si>
  <si>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</si>
  <si>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</si>
  <si>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</si>
  <si>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</si>
  <si>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</si>
  <si>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</si>
  <si>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</si>
  <si>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</si>
  <si>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</si>
  <si>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</si>
  <si>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</si>
  <si>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</si>
  <si>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</si>
  <si>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</si>
  <si>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</si>
  <si>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</si>
  <si>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</si>
  <si>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</si>
  <si>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</si>
  <si>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</si>
  <si>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</si>
  <si>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</si>
  <si>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</si>
  <si>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</si>
  <si>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</si>
  <si>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</si>
  <si>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</si>
  <si>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</si>
  <si>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</si>
  <si>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</si>
  <si>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</si>
  <si>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</si>
  <si>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</si>
  <si>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</si>
  <si>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</si>
  <si>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</si>
  <si>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</si>
  <si>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</si>
  <si>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</si>
  <si>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</si>
  <si>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</si>
  <si>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</si>
  <si>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</si>
  <si>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</si>
  <si>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</si>
  <si>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</si>
  <si>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</si>
  <si>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</si>
  <si>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</si>
  <si>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</si>
  <si>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</si>
  <si>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</si>
  <si>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</si>
  <si>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</si>
  <si>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</si>
  <si>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</si>
  <si>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</si>
  <si>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</si>
  <si>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</si>
  <si>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</si>
  <si>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</si>
  <si>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</si>
  <si>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</si>
  <si>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</si>
  <si>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</si>
  <si>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</si>
  <si>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</si>
  <si>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</si>
  <si>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</si>
  <si>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</si>
  <si>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</si>
  <si>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</si>
  <si>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</si>
  <si>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</si>
  <si>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</si>
  <si>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</si>
  <si>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</si>
  <si>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</si>
  <si>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</si>
  <si>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</si>
  <si>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</si>
  <si>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</si>
  <si>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</si>
  <si>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</si>
  <si>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</si>
  <si>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</si>
  <si>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</si>
  <si>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</si>
  <si>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</si>
  <si>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</si>
  <si>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</si>
  <si>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</si>
  <si>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</si>
  <si>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</si>
  <si>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</si>
  <si>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</si>
  <si>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</si>
  <si>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</si>
  <si>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</si>
  <si>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</si>
  <si>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</si>
  <si>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</si>
  <si>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</si>
  <si>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</si>
  <si>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</si>
  <si>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</si>
  <si>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</si>
  <si>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</si>
  <si>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</si>
  <si>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</si>
  <si>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</si>
  <si>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</si>
  <si>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</si>
  <si>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</si>
  <si>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</si>
  <si>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</si>
  <si>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</si>
  <si>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</si>
  <si>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</si>
  <si>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</si>
  <si>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</si>
  <si>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</si>
  <si>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</si>
  <si>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</si>
  <si>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</si>
  <si>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</si>
  <si>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</si>
  <si>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</si>
  <si>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</si>
  <si>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</si>
  <si>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</si>
  <si>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</si>
  <si>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</si>
  <si>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</si>
  <si>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</si>
  <si>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</si>
  <si>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</si>
  <si>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</si>
  <si>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</si>
  <si>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</si>
  <si>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</si>
  <si>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</si>
  <si>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</si>
  <si>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</si>
  <si>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</si>
  <si>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</si>
  <si>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</si>
  <si>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</si>
  <si>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</si>
  <si>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EM ANDAMENTO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</si>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</sst>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="115" zoomScaleNormal="100" zoomScaleSheetLayoutView="115" workbookViewId="0">
      <pane ySplit="1" topLeftCell="A53" activePane="bottomLeft" state="frozen"/>
      <selection activeCell="B1" sqref="B1"/>
      <selection pane="bottomLeft" activeCell="I160" sqref="I159:I160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4.14062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803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804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804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-4.818416</v>
      </c>
      <c r="D4" s="5">
        <v>-37.871932999999999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17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804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-4.1070659999999997</v>
      </c>
      <c r="D6" s="5">
        <v>-38.787050000000001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17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-4.0963000000000003</v>
      </c>
      <c r="D7" s="5">
        <v>-38.778933000000002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17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-2.9375879999999999</v>
      </c>
      <c r="D10" s="5">
        <v>-40.181438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17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-4.1120830000000002</v>
      </c>
      <c r="D11" s="5">
        <v>-38.749133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17</v>
      </c>
      <c r="K11" s="6" t="s">
        <v>18</v>
      </c>
    </row>
    <row r="12" spans="1:11" hidden="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804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804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-3.7677</v>
      </c>
      <c r="D15" s="5">
        <v>-40.979550000000003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17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804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-3.8491379999999999</v>
      </c>
      <c r="D17" s="5">
        <v>-40.654688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17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804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-3.992772</v>
      </c>
      <c r="D19" s="5">
        <v>-40.073487999999998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17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-3.9917050000000001</v>
      </c>
      <c r="D20" s="5">
        <v>-40.079726999999998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17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-3.4485109999999999</v>
      </c>
      <c r="D21" s="5">
        <v>-39.407550000000001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17</v>
      </c>
      <c r="K21" s="6" t="s">
        <v>18</v>
      </c>
    </row>
    <row r="22" spans="1:11" hidden="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-4.1670020000000001</v>
      </c>
      <c r="D23" s="5">
        <v>-38.694997000000001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17</v>
      </c>
      <c r="K23" s="6" t="s">
        <v>18</v>
      </c>
    </row>
    <row r="24" spans="1:11" hidden="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-3.97668</v>
      </c>
      <c r="D25" s="5">
        <v>-39.578536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17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-4.0340299999999996</v>
      </c>
      <c r="D26" s="5">
        <v>-39.451304999999998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17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804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804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804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804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804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-3.9746800000000002</v>
      </c>
      <c r="D32" s="5">
        <v>-38.710697000000003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17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-3.2165300000000001</v>
      </c>
      <c r="D33" s="5">
        <v>-40.866968999999997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17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-3.6606179999999999</v>
      </c>
      <c r="D34" s="5">
        <v>-38.856175999999998</v>
      </c>
      <c r="E34" s="4" t="s">
        <v>42</v>
      </c>
      <c r="F34" s="4" t="s">
        <v>299</v>
      </c>
      <c r="G34" s="4" t="s">
        <v>300</v>
      </c>
      <c r="H34" s="4" t="s">
        <v>301</v>
      </c>
      <c r="I34" s="4" t="s">
        <v>16</v>
      </c>
      <c r="J34" s="6" t="s">
        <v>17</v>
      </c>
      <c r="K34" s="6" t="s">
        <v>178</v>
      </c>
    </row>
    <row r="35" spans="1:11" hidden="1" x14ac:dyDescent="0.25">
      <c r="A35" s="1" t="s">
        <v>302</v>
      </c>
      <c r="B35" s="4" t="s">
        <v>303</v>
      </c>
      <c r="C35" s="5">
        <v>-4.5677839999999996</v>
      </c>
      <c r="D35" s="5">
        <v>-41.220272999999999</v>
      </c>
      <c r="E35" s="4" t="s">
        <v>304</v>
      </c>
      <c r="F35" s="4" t="s">
        <v>305</v>
      </c>
      <c r="G35" s="4" t="s">
        <v>306</v>
      </c>
      <c r="H35" s="4" t="s">
        <v>307</v>
      </c>
      <c r="I35" s="4" t="s">
        <v>16</v>
      </c>
      <c r="J35" s="6" t="s">
        <v>804</v>
      </c>
      <c r="K35" s="6" t="s">
        <v>308</v>
      </c>
    </row>
    <row r="36" spans="1:11" hidden="1" x14ac:dyDescent="0.25">
      <c r="A36" s="1" t="s">
        <v>309</v>
      </c>
      <c r="B36" s="4" t="s">
        <v>310</v>
      </c>
      <c r="C36" s="5">
        <v>-5.9926050000000002</v>
      </c>
      <c r="D36" s="5">
        <v>-38.620525000000001</v>
      </c>
      <c r="E36" s="4" t="s">
        <v>136</v>
      </c>
      <c r="F36" s="4" t="s">
        <v>311</v>
      </c>
      <c r="G36" s="4" t="s">
        <v>312</v>
      </c>
      <c r="H36" s="4" t="s">
        <v>313</v>
      </c>
      <c r="I36" s="4" t="s">
        <v>16</v>
      </c>
      <c r="J36" s="6" t="s">
        <v>17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hidden="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-4.8713660000000001</v>
      </c>
      <c r="D39" s="5">
        <v>-38.027166000000001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17</v>
      </c>
      <c r="K39" s="6" t="s">
        <v>18</v>
      </c>
    </row>
    <row r="40" spans="1:11" hidden="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-3.7468159999999999</v>
      </c>
      <c r="D42" s="5">
        <v>-41.011766000000001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17</v>
      </c>
      <c r="K42" s="6" t="s">
        <v>18</v>
      </c>
    </row>
    <row r="43" spans="1:11" hidden="1" x14ac:dyDescent="0.25">
      <c r="A43" s="1" t="s">
        <v>314</v>
      </c>
      <c r="B43" s="4" t="s">
        <v>315</v>
      </c>
      <c r="C43" s="5">
        <v>-4.228675</v>
      </c>
      <c r="D43" s="5">
        <v>-38.906652000000001</v>
      </c>
      <c r="E43" s="4" t="s">
        <v>148</v>
      </c>
      <c r="F43" s="4" t="s">
        <v>316</v>
      </c>
      <c r="G43" s="4" t="s">
        <v>317</v>
      </c>
      <c r="H43" s="4" t="s">
        <v>318</v>
      </c>
      <c r="I43" s="4" t="s">
        <v>151</v>
      </c>
      <c r="J43" s="6" t="s">
        <v>804</v>
      </c>
      <c r="K43" s="6" t="s">
        <v>18</v>
      </c>
    </row>
    <row r="44" spans="1:11" hidden="1" x14ac:dyDescent="0.25">
      <c r="A44" s="1" t="s">
        <v>319</v>
      </c>
      <c r="B44" s="4" t="s">
        <v>320</v>
      </c>
      <c r="C44" s="5">
        <v>-3.9083830000000002</v>
      </c>
      <c r="D44" s="5">
        <v>-40.403132999999997</v>
      </c>
      <c r="E44" s="4" t="s">
        <v>148</v>
      </c>
      <c r="F44" s="4" t="s">
        <v>321</v>
      </c>
      <c r="G44" s="4" t="s">
        <v>322</v>
      </c>
      <c r="H44" s="4" t="s">
        <v>323</v>
      </c>
      <c r="I44" s="4" t="s">
        <v>101</v>
      </c>
      <c r="J44" s="6" t="s">
        <v>17</v>
      </c>
      <c r="K44" s="6" t="s">
        <v>18</v>
      </c>
    </row>
    <row r="45" spans="1:11" hidden="1" x14ac:dyDescent="0.25">
      <c r="A45" s="1" t="s">
        <v>324</v>
      </c>
      <c r="B45" s="4" t="s">
        <v>325</v>
      </c>
      <c r="C45" s="5">
        <v>-3.907816</v>
      </c>
      <c r="D45" s="5">
        <v>-40.881765999999999</v>
      </c>
      <c r="E45" s="4" t="s">
        <v>148</v>
      </c>
      <c r="F45" s="4" t="s">
        <v>326</v>
      </c>
      <c r="G45" s="4" t="s">
        <v>327</v>
      </c>
      <c r="H45" s="4" t="s">
        <v>328</v>
      </c>
      <c r="I45" s="4" t="s">
        <v>151</v>
      </c>
      <c r="J45" s="6" t="s">
        <v>17</v>
      </c>
      <c r="K45" s="6" t="s">
        <v>18</v>
      </c>
    </row>
    <row r="46" spans="1:11" hidden="1" x14ac:dyDescent="0.25">
      <c r="A46" s="1" t="s">
        <v>329</v>
      </c>
      <c r="B46" s="4" t="s">
        <v>330</v>
      </c>
      <c r="C46" s="5">
        <v>-4.5644640000000001</v>
      </c>
      <c r="D46" s="5">
        <v>-40.746068999999999</v>
      </c>
      <c r="E46" s="4" t="s">
        <v>87</v>
      </c>
      <c r="F46" s="4" t="s">
        <v>331</v>
      </c>
      <c r="G46" s="4" t="s">
        <v>332</v>
      </c>
      <c r="H46" s="4" t="s">
        <v>333</v>
      </c>
      <c r="I46" s="4" t="s">
        <v>101</v>
      </c>
      <c r="J46" s="6" t="s">
        <v>804</v>
      </c>
      <c r="K46" s="6" t="s">
        <v>18</v>
      </c>
    </row>
    <row r="47" spans="1:11" hidden="1" x14ac:dyDescent="0.25">
      <c r="A47" s="1" t="s">
        <v>334</v>
      </c>
      <c r="B47" s="4" t="s">
        <v>335</v>
      </c>
      <c r="C47" s="5">
        <v>-4.7033829999999996</v>
      </c>
      <c r="D47" s="5">
        <v>-37.482100000000003</v>
      </c>
      <c r="E47" s="4" t="s">
        <v>336</v>
      </c>
      <c r="F47" s="4" t="s">
        <v>337</v>
      </c>
      <c r="G47" s="4" t="s">
        <v>338</v>
      </c>
      <c r="H47" s="4" t="s">
        <v>339</v>
      </c>
      <c r="I47" s="4" t="s">
        <v>151</v>
      </c>
      <c r="J47" s="6" t="s">
        <v>17</v>
      </c>
      <c r="K47" s="6" t="s">
        <v>18</v>
      </c>
    </row>
    <row r="48" spans="1:11" hidden="1" x14ac:dyDescent="0.25">
      <c r="A48" s="1" t="s">
        <v>340</v>
      </c>
      <c r="B48" s="4" t="s">
        <v>341</v>
      </c>
      <c r="C48" s="5">
        <v>-4.8203329999999998</v>
      </c>
      <c r="D48" s="5">
        <v>-37.881216000000002</v>
      </c>
      <c r="E48" s="4" t="s">
        <v>342</v>
      </c>
      <c r="F48" s="4" t="s">
        <v>343</v>
      </c>
      <c r="G48" s="4" t="s">
        <v>344</v>
      </c>
      <c r="H48" s="4" t="s">
        <v>345</v>
      </c>
      <c r="I48" s="4" t="s">
        <v>101</v>
      </c>
      <c r="J48" s="6" t="s">
        <v>17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804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804</v>
      </c>
      <c r="K50" s="6" t="s">
        <v>18</v>
      </c>
    </row>
    <row r="51" spans="1:11" hidden="1" x14ac:dyDescent="0.25">
      <c r="A51" s="1" t="s">
        <v>346</v>
      </c>
      <c r="B51" s="4" t="s">
        <v>347</v>
      </c>
      <c r="C51" s="5">
        <v>-4.702947</v>
      </c>
      <c r="D51" s="5">
        <v>-40.549087999999998</v>
      </c>
      <c r="E51" s="4" t="s">
        <v>12</v>
      </c>
      <c r="F51" s="4" t="s">
        <v>348</v>
      </c>
      <c r="G51" s="4" t="s">
        <v>349</v>
      </c>
      <c r="H51" s="4" t="s">
        <v>22</v>
      </c>
      <c r="I51" s="4" t="s">
        <v>151</v>
      </c>
      <c r="J51" s="6" t="s">
        <v>804</v>
      </c>
      <c r="K51" s="6" t="s">
        <v>18</v>
      </c>
    </row>
    <row r="52" spans="1:11" hidden="1" x14ac:dyDescent="0.25">
      <c r="A52" s="1" t="s">
        <v>350</v>
      </c>
      <c r="B52" s="4" t="s">
        <v>351</v>
      </c>
      <c r="C52" s="5">
        <v>-5.2227160000000001</v>
      </c>
      <c r="D52" s="5">
        <v>-37.964933000000002</v>
      </c>
      <c r="E52" s="4" t="s">
        <v>352</v>
      </c>
      <c r="F52" s="4" t="s">
        <v>353</v>
      </c>
      <c r="G52" s="4" t="s">
        <v>354</v>
      </c>
      <c r="H52" s="4" t="s">
        <v>355</v>
      </c>
      <c r="I52" s="4" t="s">
        <v>101</v>
      </c>
      <c r="J52" s="6" t="s">
        <v>17</v>
      </c>
      <c r="K52" s="6" t="s">
        <v>308</v>
      </c>
    </row>
    <row r="53" spans="1:11" x14ac:dyDescent="0.25">
      <c r="A53" s="1" t="s">
        <v>356</v>
      </c>
      <c r="B53" s="4" t="s">
        <v>357</v>
      </c>
      <c r="C53" s="5">
        <v>-5.2506180000000002</v>
      </c>
      <c r="D53" s="5">
        <v>-38.494636999999997</v>
      </c>
      <c r="E53" s="4" t="s">
        <v>358</v>
      </c>
      <c r="F53" s="4" t="s">
        <v>359</v>
      </c>
      <c r="G53" s="4" t="s">
        <v>27</v>
      </c>
      <c r="H53" s="4" t="s">
        <v>360</v>
      </c>
      <c r="I53" s="4" t="s">
        <v>101</v>
      </c>
      <c r="J53" s="6" t="s">
        <v>837</v>
      </c>
      <c r="K53" s="6" t="s">
        <v>18</v>
      </c>
    </row>
    <row r="54" spans="1:11" x14ac:dyDescent="0.25">
      <c r="A54" s="1" t="s">
        <v>361</v>
      </c>
      <c r="B54" s="4" t="s">
        <v>362</v>
      </c>
      <c r="C54" s="5">
        <v>-5.4016780000000004</v>
      </c>
      <c r="D54" s="5">
        <v>-38.569516999999998</v>
      </c>
      <c r="E54" s="4" t="s">
        <v>363</v>
      </c>
      <c r="F54" s="4" t="s">
        <v>364</v>
      </c>
      <c r="G54" s="4" t="s">
        <v>365</v>
      </c>
      <c r="H54" s="4" t="s">
        <v>366</v>
      </c>
      <c r="I54" s="4" t="s">
        <v>151</v>
      </c>
      <c r="J54" s="6" t="s">
        <v>837</v>
      </c>
      <c r="K54" s="6" t="s">
        <v>18</v>
      </c>
    </row>
    <row r="55" spans="1:11" hidden="1" x14ac:dyDescent="0.25">
      <c r="A55" s="1" t="s">
        <v>367</v>
      </c>
      <c r="B55" s="4" t="s">
        <v>368</v>
      </c>
      <c r="C55" s="5">
        <v>-5.9727329999999998</v>
      </c>
      <c r="D55" s="5">
        <v>-38.8797</v>
      </c>
      <c r="E55" s="4" t="s">
        <v>369</v>
      </c>
      <c r="F55" s="4" t="s">
        <v>370</v>
      </c>
      <c r="G55" s="4" t="s">
        <v>371</v>
      </c>
      <c r="H55" s="4" t="s">
        <v>372</v>
      </c>
      <c r="I55" s="4" t="s">
        <v>151</v>
      </c>
      <c r="J55" s="6" t="s">
        <v>17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-4.6214500000000003</v>
      </c>
      <c r="D56" s="5">
        <v>-37.649166000000001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17</v>
      </c>
      <c r="K56" s="6" t="s">
        <v>18</v>
      </c>
    </row>
    <row r="57" spans="1:11" hidden="1" x14ac:dyDescent="0.25">
      <c r="A57" s="1" t="s">
        <v>373</v>
      </c>
      <c r="B57" s="4" t="s">
        <v>374</v>
      </c>
      <c r="C57" s="5">
        <v>-3.5660500000000002</v>
      </c>
      <c r="D57" s="5">
        <v>-41.143765999999999</v>
      </c>
      <c r="E57" s="4" t="s">
        <v>375</v>
      </c>
      <c r="F57" s="4" t="s">
        <v>376</v>
      </c>
      <c r="G57" s="4" t="s">
        <v>377</v>
      </c>
      <c r="H57" s="4" t="s">
        <v>378</v>
      </c>
      <c r="I57" s="4" t="s">
        <v>151</v>
      </c>
      <c r="J57" s="6" t="s">
        <v>17</v>
      </c>
      <c r="K57" s="6" t="s">
        <v>308</v>
      </c>
    </row>
    <row r="58" spans="1:11" hidden="1" x14ac:dyDescent="0.25">
      <c r="A58" s="1" t="s">
        <v>379</v>
      </c>
      <c r="B58" s="4" t="s">
        <v>380</v>
      </c>
      <c r="C58" s="5">
        <v>-3.8470499999999999</v>
      </c>
      <c r="D58" s="5">
        <v>-40.655116</v>
      </c>
      <c r="E58" s="4" t="s">
        <v>381</v>
      </c>
      <c r="F58" s="4" t="s">
        <v>382</v>
      </c>
      <c r="G58" s="4" t="s">
        <v>383</v>
      </c>
      <c r="H58" s="4" t="s">
        <v>384</v>
      </c>
      <c r="I58" s="4" t="s">
        <v>151</v>
      </c>
      <c r="J58" s="6" t="s">
        <v>17</v>
      </c>
      <c r="K58" s="6" t="s">
        <v>18</v>
      </c>
    </row>
    <row r="59" spans="1:11" hidden="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hidden="1" x14ac:dyDescent="0.25">
      <c r="A60" s="1" t="s">
        <v>385</v>
      </c>
      <c r="B60" s="4" t="s">
        <v>386</v>
      </c>
      <c r="C60" s="5">
        <v>-3.9773499999999999</v>
      </c>
      <c r="D60" s="5">
        <v>-40.707566</v>
      </c>
      <c r="E60" s="4" t="s">
        <v>381</v>
      </c>
      <c r="F60" s="4" t="s">
        <v>387</v>
      </c>
      <c r="G60" s="4" t="s">
        <v>388</v>
      </c>
      <c r="H60" s="4" t="s">
        <v>389</v>
      </c>
      <c r="I60" s="4" t="s">
        <v>151</v>
      </c>
      <c r="J60" s="6" t="s">
        <v>17</v>
      </c>
      <c r="K60" s="6" t="s">
        <v>18</v>
      </c>
    </row>
    <row r="61" spans="1:11" hidden="1" x14ac:dyDescent="0.25">
      <c r="A61" s="1" t="s">
        <v>390</v>
      </c>
      <c r="B61" s="4" t="s">
        <v>391</v>
      </c>
      <c r="C61" s="5">
        <v>-4.1677330000000001</v>
      </c>
      <c r="D61" s="5">
        <v>-40.952933000000002</v>
      </c>
      <c r="E61" s="4" t="s">
        <v>392</v>
      </c>
      <c r="F61" s="4" t="s">
        <v>393</v>
      </c>
      <c r="G61" s="4" t="s">
        <v>394</v>
      </c>
      <c r="H61" s="4" t="s">
        <v>395</v>
      </c>
      <c r="I61" s="4" t="s">
        <v>101</v>
      </c>
      <c r="J61" s="6" t="s">
        <v>17</v>
      </c>
      <c r="K61" s="6" t="s">
        <v>18</v>
      </c>
    </row>
    <row r="62" spans="1:11" hidden="1" x14ac:dyDescent="0.25">
      <c r="A62" s="1" t="s">
        <v>396</v>
      </c>
      <c r="B62" s="4" t="s">
        <v>397</v>
      </c>
      <c r="C62" s="5">
        <v>-4.040883</v>
      </c>
      <c r="D62" s="5">
        <v>-40.474516000000001</v>
      </c>
      <c r="E62" s="4" t="s">
        <v>398</v>
      </c>
      <c r="F62" s="4" t="s">
        <v>399</v>
      </c>
      <c r="G62" s="4" t="s">
        <v>400</v>
      </c>
      <c r="H62" s="4" t="s">
        <v>401</v>
      </c>
      <c r="I62" s="4" t="s">
        <v>151</v>
      </c>
      <c r="J62" s="6" t="s">
        <v>17</v>
      </c>
      <c r="K62" s="6" t="s">
        <v>18</v>
      </c>
    </row>
    <row r="63" spans="1:11" hidden="1" x14ac:dyDescent="0.25">
      <c r="A63" s="1" t="s">
        <v>402</v>
      </c>
      <c r="B63" s="4" t="s">
        <v>403</v>
      </c>
      <c r="C63" s="5">
        <v>-3.5272999999999999</v>
      </c>
      <c r="D63" s="5">
        <v>-39.073349999999998</v>
      </c>
      <c r="E63" s="4" t="s">
        <v>272</v>
      </c>
      <c r="F63" s="4" t="s">
        <v>404</v>
      </c>
      <c r="G63" s="4" t="s">
        <v>405</v>
      </c>
      <c r="H63" s="4" t="s">
        <v>406</v>
      </c>
      <c r="I63" s="4" t="s">
        <v>101</v>
      </c>
      <c r="J63" s="6" t="s">
        <v>17</v>
      </c>
      <c r="K63" s="6" t="s">
        <v>18</v>
      </c>
    </row>
    <row r="64" spans="1:11" hidden="1" x14ac:dyDescent="0.25">
      <c r="A64" s="1" t="s">
        <v>407</v>
      </c>
      <c r="B64" s="4" t="s">
        <v>408</v>
      </c>
      <c r="C64" s="5">
        <v>-3.553566</v>
      </c>
      <c r="D64" s="5">
        <v>-38.885983000000003</v>
      </c>
      <c r="E64" s="4" t="s">
        <v>409</v>
      </c>
      <c r="F64" s="4" t="s">
        <v>410</v>
      </c>
      <c r="G64" s="4" t="s">
        <v>411</v>
      </c>
      <c r="H64" s="4" t="s">
        <v>412</v>
      </c>
      <c r="I64" s="4" t="s">
        <v>151</v>
      </c>
      <c r="J64" s="6" t="s">
        <v>17</v>
      </c>
      <c r="K64" s="6" t="s">
        <v>18</v>
      </c>
    </row>
    <row r="65" spans="1:11" hidden="1" x14ac:dyDescent="0.25">
      <c r="A65" s="1" t="s">
        <v>413</v>
      </c>
      <c r="B65" s="4" t="s">
        <v>414</v>
      </c>
      <c r="C65" s="5">
        <v>-3.2338659999999999</v>
      </c>
      <c r="D65" s="5">
        <v>-40.011833000000003</v>
      </c>
      <c r="E65" s="4" t="s">
        <v>415</v>
      </c>
      <c r="F65" s="4" t="s">
        <v>416</v>
      </c>
      <c r="G65" s="4" t="s">
        <v>417</v>
      </c>
      <c r="H65" s="4" t="s">
        <v>418</v>
      </c>
      <c r="I65" s="4" t="s">
        <v>101</v>
      </c>
      <c r="J65" s="6" t="s">
        <v>17</v>
      </c>
      <c r="K65" s="6" t="s">
        <v>18</v>
      </c>
    </row>
    <row r="66" spans="1:11" hidden="1" x14ac:dyDescent="0.25">
      <c r="A66" s="1" t="s">
        <v>419</v>
      </c>
      <c r="B66" s="4" t="s">
        <v>420</v>
      </c>
      <c r="C66" s="5">
        <v>-3.5168159999999999</v>
      </c>
      <c r="D66" s="5">
        <v>-39.583283000000002</v>
      </c>
      <c r="E66" s="4" t="s">
        <v>266</v>
      </c>
      <c r="F66" s="4" t="s">
        <v>421</v>
      </c>
      <c r="G66" s="4" t="s">
        <v>422</v>
      </c>
      <c r="H66" s="4" t="s">
        <v>423</v>
      </c>
      <c r="I66" s="4" t="s">
        <v>101</v>
      </c>
      <c r="J66" s="6" t="s">
        <v>17</v>
      </c>
      <c r="K66" s="6" t="s">
        <v>18</v>
      </c>
    </row>
    <row r="67" spans="1:11" hidden="1" x14ac:dyDescent="0.25">
      <c r="A67" s="1" t="s">
        <v>424</v>
      </c>
      <c r="B67" s="4" t="s">
        <v>425</v>
      </c>
      <c r="C67" s="5">
        <v>-3.6586500000000002</v>
      </c>
      <c r="D67" s="5">
        <v>-39.420050000000003</v>
      </c>
      <c r="E67" s="4" t="s">
        <v>426</v>
      </c>
      <c r="F67" s="4" t="s">
        <v>427</v>
      </c>
      <c r="G67" s="4" t="s">
        <v>428</v>
      </c>
      <c r="H67" s="4" t="s">
        <v>429</v>
      </c>
      <c r="I67" s="4" t="s">
        <v>101</v>
      </c>
      <c r="J67" s="6" t="s">
        <v>17</v>
      </c>
      <c r="K67" s="6" t="s">
        <v>18</v>
      </c>
    </row>
    <row r="68" spans="1:11" hidden="1" x14ac:dyDescent="0.25">
      <c r="A68" s="1" t="s">
        <v>430</v>
      </c>
      <c r="B68" s="4" t="s">
        <v>431</v>
      </c>
      <c r="C68" s="5">
        <v>-4.2901499999999997</v>
      </c>
      <c r="D68" s="5">
        <v>-38.625466000000003</v>
      </c>
      <c r="E68" s="4" t="s">
        <v>415</v>
      </c>
      <c r="F68" s="4" t="s">
        <v>432</v>
      </c>
      <c r="G68" s="4" t="s">
        <v>433</v>
      </c>
      <c r="H68" s="4" t="s">
        <v>434</v>
      </c>
      <c r="I68" s="4" t="s">
        <v>16</v>
      </c>
      <c r="J68" s="6" t="s">
        <v>17</v>
      </c>
      <c r="K68" s="6" t="s">
        <v>18</v>
      </c>
    </row>
    <row r="69" spans="1:11" hidden="1" x14ac:dyDescent="0.25">
      <c r="A69" s="1" t="s">
        <v>435</v>
      </c>
      <c r="B69" s="4" t="s">
        <v>436</v>
      </c>
      <c r="C69" s="5">
        <v>-4.3755519999999999</v>
      </c>
      <c r="D69" s="5">
        <v>-38.834249999999997</v>
      </c>
      <c r="E69" s="4" t="s">
        <v>229</v>
      </c>
      <c r="F69" s="4" t="s">
        <v>437</v>
      </c>
      <c r="G69" s="4" t="s">
        <v>232</v>
      </c>
      <c r="H69" s="4" t="s">
        <v>438</v>
      </c>
      <c r="I69" s="4" t="s">
        <v>101</v>
      </c>
      <c r="J69" s="6" t="s">
        <v>804</v>
      </c>
      <c r="K69" s="6" t="s">
        <v>18</v>
      </c>
    </row>
    <row r="70" spans="1:11" hidden="1" x14ac:dyDescent="0.25">
      <c r="A70" s="1" t="s">
        <v>439</v>
      </c>
      <c r="B70" s="4" t="s">
        <v>440</v>
      </c>
      <c r="C70" s="5">
        <v>-5.0380159999999998</v>
      </c>
      <c r="D70" s="5">
        <v>-37.783000000000001</v>
      </c>
      <c r="E70" s="4" t="s">
        <v>229</v>
      </c>
      <c r="F70" s="4" t="s">
        <v>441</v>
      </c>
      <c r="G70" s="4" t="s">
        <v>442</v>
      </c>
      <c r="H70" s="4" t="s">
        <v>443</v>
      </c>
      <c r="I70" s="4" t="s">
        <v>151</v>
      </c>
      <c r="J70" s="6" t="s">
        <v>17</v>
      </c>
      <c r="K70" s="6" t="s">
        <v>18</v>
      </c>
    </row>
    <row r="71" spans="1:11" hidden="1" x14ac:dyDescent="0.25">
      <c r="A71" s="1" t="s">
        <v>444</v>
      </c>
      <c r="B71" s="4" t="s">
        <v>445</v>
      </c>
      <c r="C71" s="5">
        <v>-5.2755999999999998</v>
      </c>
      <c r="D71" s="5">
        <v>-38.108716000000001</v>
      </c>
      <c r="E71" s="4" t="s">
        <v>446</v>
      </c>
      <c r="F71" s="4" t="s">
        <v>447</v>
      </c>
      <c r="G71" s="4" t="s">
        <v>448</v>
      </c>
      <c r="H71" s="4" t="s">
        <v>449</v>
      </c>
      <c r="I71" s="4" t="s">
        <v>101</v>
      </c>
      <c r="J71" s="6" t="s">
        <v>17</v>
      </c>
      <c r="K71" s="6" t="s">
        <v>18</v>
      </c>
    </row>
    <row r="72" spans="1:11" hidden="1" x14ac:dyDescent="0.25">
      <c r="A72" s="1" t="s">
        <v>450</v>
      </c>
      <c r="B72" s="4" t="s">
        <v>451</v>
      </c>
      <c r="C72" s="5">
        <v>-3.7728000000000002</v>
      </c>
      <c r="D72" s="5">
        <v>-38.675415999999998</v>
      </c>
      <c r="E72" s="4" t="s">
        <v>97</v>
      </c>
      <c r="F72" s="4" t="s">
        <v>452</v>
      </c>
      <c r="G72" s="4" t="s">
        <v>453</v>
      </c>
      <c r="H72" s="4" t="s">
        <v>454</v>
      </c>
      <c r="I72" s="4" t="s">
        <v>101</v>
      </c>
      <c r="J72" s="6" t="s">
        <v>17</v>
      </c>
      <c r="K72" s="6" t="s">
        <v>18</v>
      </c>
    </row>
    <row r="73" spans="1:11" hidden="1" x14ac:dyDescent="0.25">
      <c r="A73" s="1" t="s">
        <v>455</v>
      </c>
      <c r="B73" s="4" t="s">
        <v>456</v>
      </c>
      <c r="C73" s="5">
        <v>-3.1334659999999999</v>
      </c>
      <c r="D73" s="5">
        <v>-40.815800000000003</v>
      </c>
      <c r="E73" s="4" t="s">
        <v>235</v>
      </c>
      <c r="F73" s="4" t="s">
        <v>457</v>
      </c>
      <c r="G73" s="4" t="s">
        <v>458</v>
      </c>
      <c r="H73" s="4" t="s">
        <v>459</v>
      </c>
      <c r="I73" s="4" t="s">
        <v>101</v>
      </c>
      <c r="J73" s="6" t="s">
        <v>17</v>
      </c>
      <c r="K73" s="6" t="s">
        <v>18</v>
      </c>
    </row>
    <row r="74" spans="1:11" hidden="1" x14ac:dyDescent="0.25">
      <c r="A74" s="1" t="s">
        <v>460</v>
      </c>
      <c r="B74" s="4" t="s">
        <v>461</v>
      </c>
      <c r="C74" s="5">
        <v>-3.6184599999999998</v>
      </c>
      <c r="D74" s="5">
        <v>-40.352547000000001</v>
      </c>
      <c r="E74" s="4" t="s">
        <v>235</v>
      </c>
      <c r="F74" s="4" t="s">
        <v>462</v>
      </c>
      <c r="G74" s="4" t="s">
        <v>463</v>
      </c>
      <c r="H74" s="4" t="s">
        <v>464</v>
      </c>
      <c r="I74" s="4" t="s">
        <v>101</v>
      </c>
      <c r="J74" s="6" t="s">
        <v>804</v>
      </c>
      <c r="K74" s="6" t="s">
        <v>18</v>
      </c>
    </row>
    <row r="75" spans="1:11" hidden="1" x14ac:dyDescent="0.25">
      <c r="A75" s="1" t="s">
        <v>465</v>
      </c>
      <c r="B75" s="4" t="s">
        <v>466</v>
      </c>
      <c r="C75" s="5">
        <v>-3.9911660000000002</v>
      </c>
      <c r="D75" s="5">
        <v>-40.085766</v>
      </c>
      <c r="E75" s="4" t="s">
        <v>235</v>
      </c>
      <c r="F75" s="4" t="s">
        <v>467</v>
      </c>
      <c r="G75" s="4" t="s">
        <v>468</v>
      </c>
      <c r="H75" s="4" t="s">
        <v>469</v>
      </c>
      <c r="I75" s="4" t="s">
        <v>151</v>
      </c>
      <c r="J75" s="6" t="s">
        <v>17</v>
      </c>
      <c r="K75" s="6" t="s">
        <v>18</v>
      </c>
    </row>
    <row r="76" spans="1:11" hidden="1" x14ac:dyDescent="0.25">
      <c r="A76" s="1" t="s">
        <v>470</v>
      </c>
      <c r="B76" s="4" t="s">
        <v>471</v>
      </c>
      <c r="C76" s="5">
        <v>-5.6781480000000002</v>
      </c>
      <c r="D76" s="5">
        <v>-39.430067000000001</v>
      </c>
      <c r="E76" s="4" t="s">
        <v>197</v>
      </c>
      <c r="F76" s="4" t="s">
        <v>838</v>
      </c>
      <c r="G76" s="4" t="s">
        <v>839</v>
      </c>
      <c r="H76" s="4" t="s">
        <v>840</v>
      </c>
      <c r="I76" s="4" t="s">
        <v>101</v>
      </c>
      <c r="J76" s="6" t="s">
        <v>804</v>
      </c>
      <c r="K76" s="6" t="s">
        <v>18</v>
      </c>
    </row>
    <row r="77" spans="1:11" hidden="1" x14ac:dyDescent="0.25">
      <c r="A77" s="1" t="s">
        <v>474</v>
      </c>
      <c r="B77" s="4" t="s">
        <v>475</v>
      </c>
      <c r="C77" s="5">
        <v>-3.4014500000000001</v>
      </c>
      <c r="D77" s="5">
        <v>-40.686549999999997</v>
      </c>
      <c r="E77" s="4" t="s">
        <v>476</v>
      </c>
      <c r="F77" s="4" t="s">
        <v>477</v>
      </c>
      <c r="G77" s="4" t="s">
        <v>478</v>
      </c>
      <c r="H77" s="4" t="s">
        <v>479</v>
      </c>
      <c r="I77" s="4" t="s">
        <v>101</v>
      </c>
      <c r="J77" s="6" t="s">
        <v>17</v>
      </c>
      <c r="K77" s="6" t="s">
        <v>18</v>
      </c>
    </row>
    <row r="78" spans="1:11" hidden="1" x14ac:dyDescent="0.25">
      <c r="A78" s="1" t="s">
        <v>480</v>
      </c>
      <c r="B78" s="4" t="s">
        <v>481</v>
      </c>
      <c r="C78" s="5">
        <v>-3.5714160000000001</v>
      </c>
      <c r="D78" s="5">
        <v>-40.6374</v>
      </c>
      <c r="E78" s="4" t="s">
        <v>476</v>
      </c>
      <c r="F78" s="4" t="s">
        <v>482</v>
      </c>
      <c r="G78" s="4" t="s">
        <v>483</v>
      </c>
      <c r="H78" s="4" t="s">
        <v>383</v>
      </c>
      <c r="I78" s="4" t="s">
        <v>101</v>
      </c>
      <c r="J78" s="6" t="s">
        <v>17</v>
      </c>
      <c r="K78" s="6" t="s">
        <v>18</v>
      </c>
    </row>
    <row r="79" spans="1:11" hidden="1" x14ac:dyDescent="0.25">
      <c r="A79" s="1" t="s">
        <v>484</v>
      </c>
      <c r="B79" s="4" t="s">
        <v>485</v>
      </c>
      <c r="C79" s="5">
        <v>-4.7611049999999997</v>
      </c>
      <c r="D79" s="5">
        <v>-39.487011000000003</v>
      </c>
      <c r="E79" s="4" t="s">
        <v>486</v>
      </c>
      <c r="F79" s="4" t="s">
        <v>487</v>
      </c>
      <c r="G79" s="4" t="s">
        <v>488</v>
      </c>
      <c r="H79" s="4" t="s">
        <v>489</v>
      </c>
      <c r="I79" s="4" t="s">
        <v>101</v>
      </c>
      <c r="J79" s="6" t="s">
        <v>804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804</v>
      </c>
      <c r="K80" s="6" t="s">
        <v>18</v>
      </c>
    </row>
    <row r="81" spans="1:11" x14ac:dyDescent="0.25">
      <c r="A81" s="1" t="s">
        <v>490</v>
      </c>
      <c r="B81" s="4" t="s">
        <v>491</v>
      </c>
      <c r="C81" s="5">
        <v>-5.4022300000000003</v>
      </c>
      <c r="D81" s="5">
        <v>-38.571371999999997</v>
      </c>
      <c r="E81" s="4" t="s">
        <v>492</v>
      </c>
      <c r="F81" s="4" t="s">
        <v>493</v>
      </c>
      <c r="G81" s="4" t="s">
        <v>494</v>
      </c>
      <c r="H81" s="4" t="s">
        <v>495</v>
      </c>
      <c r="I81" s="4" t="s">
        <v>101</v>
      </c>
      <c r="J81" s="6" t="s">
        <v>837</v>
      </c>
      <c r="K81" s="6" t="s">
        <v>18</v>
      </c>
    </row>
    <row r="82" spans="1:11" hidden="1" x14ac:dyDescent="0.25">
      <c r="A82" s="1" t="s">
        <v>496</v>
      </c>
      <c r="B82" s="4" t="s">
        <v>497</v>
      </c>
      <c r="C82" s="5">
        <v>-5.7358440000000002</v>
      </c>
      <c r="D82" s="5">
        <v>-39.026054000000002</v>
      </c>
      <c r="E82" s="4" t="s">
        <v>136</v>
      </c>
      <c r="F82" s="4" t="s">
        <v>851</v>
      </c>
      <c r="G82" s="4" t="s">
        <v>499</v>
      </c>
      <c r="H82" s="4" t="s">
        <v>500</v>
      </c>
      <c r="I82" s="4" t="s">
        <v>101</v>
      </c>
      <c r="J82" s="6" t="s">
        <v>804</v>
      </c>
      <c r="K82" s="6" t="s">
        <v>18</v>
      </c>
    </row>
    <row r="83" spans="1:11" hidden="1" x14ac:dyDescent="0.25">
      <c r="A83" s="1" t="s">
        <v>501</v>
      </c>
      <c r="B83" s="4" t="s">
        <v>502</v>
      </c>
      <c r="C83" s="5">
        <v>-5.6845759999999999</v>
      </c>
      <c r="D83" s="5">
        <v>-39.195397</v>
      </c>
      <c r="E83" s="4" t="s">
        <v>136</v>
      </c>
      <c r="F83" s="4" t="s">
        <v>503</v>
      </c>
      <c r="G83" s="4" t="s">
        <v>500</v>
      </c>
      <c r="H83" s="4" t="s">
        <v>852</v>
      </c>
      <c r="I83" s="4" t="s">
        <v>101</v>
      </c>
      <c r="J83" s="6" t="s">
        <v>804</v>
      </c>
      <c r="K83" s="6" t="s">
        <v>18</v>
      </c>
    </row>
    <row r="84" spans="1:11" hidden="1" x14ac:dyDescent="0.25">
      <c r="A84" s="1" t="s">
        <v>504</v>
      </c>
      <c r="B84" s="4" t="s">
        <v>505</v>
      </c>
      <c r="C84" s="5">
        <v>-5.0811999999999999</v>
      </c>
      <c r="D84" s="5">
        <v>-38.004565999999997</v>
      </c>
      <c r="E84" s="4" t="s">
        <v>506</v>
      </c>
      <c r="F84" s="4" t="s">
        <v>507</v>
      </c>
      <c r="G84" s="4" t="s">
        <v>508</v>
      </c>
      <c r="H84" s="4" t="s">
        <v>509</v>
      </c>
      <c r="I84" s="4" t="s">
        <v>101</v>
      </c>
      <c r="J84" s="6" t="s">
        <v>17</v>
      </c>
      <c r="K84" s="6" t="s">
        <v>18</v>
      </c>
    </row>
    <row r="85" spans="1:11" hidden="1" x14ac:dyDescent="0.25">
      <c r="A85" s="1" t="s">
        <v>510</v>
      </c>
      <c r="B85" s="4" t="s">
        <v>511</v>
      </c>
      <c r="C85" s="5">
        <v>-5.2329999999999997</v>
      </c>
      <c r="D85" s="5">
        <v>-38.194850000000002</v>
      </c>
      <c r="E85" s="4" t="s">
        <v>506</v>
      </c>
      <c r="F85" s="4" t="s">
        <v>512</v>
      </c>
      <c r="G85" s="4" t="s">
        <v>513</v>
      </c>
      <c r="H85" s="4" t="s">
        <v>514</v>
      </c>
      <c r="I85" s="4" t="s">
        <v>101</v>
      </c>
      <c r="J85" s="6" t="s">
        <v>17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804</v>
      </c>
      <c r="K86" s="6" t="s">
        <v>18</v>
      </c>
    </row>
    <row r="87" spans="1:11" hidden="1" x14ac:dyDescent="0.25">
      <c r="A87" s="1" t="s">
        <v>515</v>
      </c>
      <c r="B87" s="4" t="s">
        <v>516</v>
      </c>
      <c r="C87" s="5">
        <v>-3.9741499999999998</v>
      </c>
      <c r="D87" s="5">
        <v>-40.704782999999999</v>
      </c>
      <c r="E87" s="4" t="s">
        <v>381</v>
      </c>
      <c r="F87" s="4" t="s">
        <v>517</v>
      </c>
      <c r="G87" s="4" t="s">
        <v>518</v>
      </c>
      <c r="H87" s="4" t="s">
        <v>519</v>
      </c>
      <c r="I87" s="4" t="s">
        <v>151</v>
      </c>
      <c r="J87" s="6" t="s">
        <v>17</v>
      </c>
      <c r="K87" s="6" t="s">
        <v>18</v>
      </c>
    </row>
    <row r="88" spans="1:11" hidden="1" x14ac:dyDescent="0.25">
      <c r="A88" s="1" t="s">
        <v>520</v>
      </c>
      <c r="B88" s="4" t="s">
        <v>521</v>
      </c>
      <c r="C88" s="5">
        <v>-3.962866</v>
      </c>
      <c r="D88" s="5">
        <v>-38.357016000000002</v>
      </c>
      <c r="E88" s="4" t="s">
        <v>522</v>
      </c>
      <c r="F88" s="4" t="s">
        <v>523</v>
      </c>
      <c r="G88" s="4" t="s">
        <v>524</v>
      </c>
      <c r="H88" s="4" t="s">
        <v>525</v>
      </c>
      <c r="I88" s="4" t="s">
        <v>101</v>
      </c>
      <c r="J88" s="6" t="s">
        <v>17</v>
      </c>
      <c r="K88" s="6" t="s">
        <v>18</v>
      </c>
    </row>
    <row r="89" spans="1:11" hidden="1" x14ac:dyDescent="0.25">
      <c r="A89" s="1" t="s">
        <v>526</v>
      </c>
      <c r="B89" s="4" t="s">
        <v>527</v>
      </c>
      <c r="C89" s="5">
        <v>-4.0425329999999997</v>
      </c>
      <c r="D89" s="5">
        <v>-38.206499999999998</v>
      </c>
      <c r="E89" s="4" t="s">
        <v>528</v>
      </c>
      <c r="F89" s="4" t="s">
        <v>529</v>
      </c>
      <c r="G89" s="4" t="s">
        <v>530</v>
      </c>
      <c r="H89" s="4" t="s">
        <v>531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804</v>
      </c>
      <c r="K90" s="6" t="s">
        <v>18</v>
      </c>
    </row>
    <row r="91" spans="1:11" hidden="1" x14ac:dyDescent="0.25">
      <c r="A91" s="1" t="s">
        <v>532</v>
      </c>
      <c r="B91" s="4" t="s">
        <v>533</v>
      </c>
      <c r="C91" s="5">
        <v>-4.4447369999999999</v>
      </c>
      <c r="D91" s="5">
        <v>-38.662745999999999</v>
      </c>
      <c r="E91" s="4" t="s">
        <v>534</v>
      </c>
      <c r="F91" s="4" t="s">
        <v>535</v>
      </c>
      <c r="G91" s="4" t="s">
        <v>536</v>
      </c>
      <c r="H91" s="4" t="s">
        <v>537</v>
      </c>
      <c r="I91" s="4" t="s">
        <v>101</v>
      </c>
      <c r="J91" s="6" t="s">
        <v>804</v>
      </c>
      <c r="K91" s="6" t="s">
        <v>18</v>
      </c>
    </row>
    <row r="92" spans="1:11" hidden="1" x14ac:dyDescent="0.25">
      <c r="A92" s="1" t="s">
        <v>538</v>
      </c>
      <c r="B92" s="4" t="s">
        <v>539</v>
      </c>
      <c r="C92" s="5">
        <v>-5.1705110000000003</v>
      </c>
      <c r="D92" s="5">
        <v>-40.708150000000003</v>
      </c>
      <c r="E92" s="4" t="s">
        <v>540</v>
      </c>
      <c r="F92" s="4" t="s">
        <v>541</v>
      </c>
      <c r="G92" s="4" t="s">
        <v>542</v>
      </c>
      <c r="H92" s="4" t="s">
        <v>543</v>
      </c>
      <c r="I92" s="4" t="s">
        <v>101</v>
      </c>
      <c r="J92" s="6" t="s">
        <v>804</v>
      </c>
      <c r="K92" s="6" t="s">
        <v>18</v>
      </c>
    </row>
    <row r="93" spans="1:11" hidden="1" x14ac:dyDescent="0.25">
      <c r="A93" s="1" t="s">
        <v>544</v>
      </c>
      <c r="B93" s="4" t="s">
        <v>545</v>
      </c>
      <c r="C93" s="5">
        <v>-4.5725499999999997</v>
      </c>
      <c r="D93" s="5">
        <v>-37.736899999999999</v>
      </c>
      <c r="E93" s="4" t="s">
        <v>492</v>
      </c>
      <c r="F93" s="4" t="s">
        <v>546</v>
      </c>
      <c r="G93" s="4" t="s">
        <v>547</v>
      </c>
      <c r="H93" s="4" t="s">
        <v>548</v>
      </c>
      <c r="I93" s="4" t="s">
        <v>101</v>
      </c>
      <c r="J93" s="6" t="s">
        <v>17</v>
      </c>
      <c r="K93" s="6" t="s">
        <v>18</v>
      </c>
    </row>
    <row r="94" spans="1:11" hidden="1" x14ac:dyDescent="0.25">
      <c r="A94" s="1" t="s">
        <v>549</v>
      </c>
      <c r="B94" s="4" t="s">
        <v>550</v>
      </c>
      <c r="C94" s="5">
        <v>-5.1207330000000004</v>
      </c>
      <c r="D94" s="5">
        <v>-39.752000000000002</v>
      </c>
      <c r="E94" s="4" t="s">
        <v>358</v>
      </c>
      <c r="F94" s="4" t="s">
        <v>551</v>
      </c>
      <c r="G94" s="4" t="s">
        <v>552</v>
      </c>
      <c r="H94" s="4" t="s">
        <v>553</v>
      </c>
      <c r="I94" s="4" t="s">
        <v>101</v>
      </c>
      <c r="J94" s="6" t="s">
        <v>17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853</v>
      </c>
      <c r="G95" s="4" t="s">
        <v>132</v>
      </c>
      <c r="H95" s="4" t="s">
        <v>854</v>
      </c>
      <c r="I95" s="4" t="s">
        <v>151</v>
      </c>
      <c r="J95" s="6" t="s">
        <v>804</v>
      </c>
      <c r="K95" s="6" t="s">
        <v>18</v>
      </c>
    </row>
    <row r="96" spans="1:11" hidden="1" x14ac:dyDescent="0.25">
      <c r="A96" s="1" t="s">
        <v>554</v>
      </c>
      <c r="B96" s="4" t="s">
        <v>555</v>
      </c>
      <c r="C96" s="5">
        <v>-3.6957</v>
      </c>
      <c r="D96" s="5">
        <v>-38.869149999999998</v>
      </c>
      <c r="E96" s="4" t="s">
        <v>42</v>
      </c>
      <c r="F96" s="4" t="s">
        <v>556</v>
      </c>
      <c r="G96" s="4" t="s">
        <v>301</v>
      </c>
      <c r="H96" s="4" t="s">
        <v>557</v>
      </c>
      <c r="I96" s="4" t="s">
        <v>101</v>
      </c>
      <c r="J96" s="6" t="s">
        <v>17</v>
      </c>
      <c r="K96" s="6" t="s">
        <v>178</v>
      </c>
    </row>
    <row r="97" spans="1:11" hidden="1" x14ac:dyDescent="0.25">
      <c r="A97" s="1" t="s">
        <v>558</v>
      </c>
      <c r="B97" s="4" t="s">
        <v>559</v>
      </c>
      <c r="C97" s="5">
        <v>-3.6978119999999999</v>
      </c>
      <c r="D97" s="5">
        <v>-40.307443999999997</v>
      </c>
      <c r="E97" s="4" t="s">
        <v>560</v>
      </c>
      <c r="F97" s="4" t="s">
        <v>561</v>
      </c>
      <c r="G97" s="4" t="s">
        <v>562</v>
      </c>
      <c r="H97" s="4" t="s">
        <v>563</v>
      </c>
      <c r="I97" s="4" t="s">
        <v>151</v>
      </c>
      <c r="J97" s="6" t="s">
        <v>804</v>
      </c>
      <c r="K97" s="6" t="s">
        <v>18</v>
      </c>
    </row>
    <row r="98" spans="1:11" hidden="1" x14ac:dyDescent="0.25">
      <c r="A98" s="1" t="s">
        <v>564</v>
      </c>
      <c r="B98" s="4" t="s">
        <v>565</v>
      </c>
      <c r="C98" s="5">
        <v>-5.2113269999999998</v>
      </c>
      <c r="D98" s="5">
        <v>-40.696823000000002</v>
      </c>
      <c r="E98" s="4" t="s">
        <v>208</v>
      </c>
      <c r="F98" s="4" t="s">
        <v>566</v>
      </c>
      <c r="G98" s="4" t="s">
        <v>567</v>
      </c>
      <c r="H98" s="4" t="s">
        <v>568</v>
      </c>
      <c r="I98" s="4" t="s">
        <v>101</v>
      </c>
      <c r="J98" s="6" t="s">
        <v>804</v>
      </c>
      <c r="K98" s="6" t="s">
        <v>18</v>
      </c>
    </row>
    <row r="99" spans="1:11" hidden="1" x14ac:dyDescent="0.25">
      <c r="A99" s="1" t="s">
        <v>569</v>
      </c>
      <c r="B99" s="4" t="s">
        <v>570</v>
      </c>
      <c r="C99" s="5">
        <v>-4.3822749999999999</v>
      </c>
      <c r="D99" s="5">
        <v>-40.712611000000003</v>
      </c>
      <c r="E99" s="4" t="s">
        <v>208</v>
      </c>
      <c r="F99" s="4" t="s">
        <v>571</v>
      </c>
      <c r="G99" s="4" t="s">
        <v>572</v>
      </c>
      <c r="H99" s="4" t="s">
        <v>573</v>
      </c>
      <c r="I99" s="4" t="s">
        <v>151</v>
      </c>
      <c r="J99" s="6" t="s">
        <v>804</v>
      </c>
      <c r="K99" s="6" t="s">
        <v>18</v>
      </c>
    </row>
    <row r="100" spans="1:11" hidden="1" x14ac:dyDescent="0.25">
      <c r="A100" s="1" t="s">
        <v>574</v>
      </c>
      <c r="B100" s="4" t="s">
        <v>575</v>
      </c>
      <c r="C100" s="5">
        <v>-6.0296659999999997</v>
      </c>
      <c r="D100" s="5">
        <v>-38.340949999999999</v>
      </c>
      <c r="E100" s="4" t="s">
        <v>576</v>
      </c>
      <c r="F100" s="4" t="s">
        <v>577</v>
      </c>
      <c r="G100" s="4" t="s">
        <v>578</v>
      </c>
      <c r="H100" s="4" t="s">
        <v>579</v>
      </c>
      <c r="I100" s="4" t="s">
        <v>101</v>
      </c>
      <c r="J100" s="6" t="s">
        <v>17</v>
      </c>
      <c r="K100" s="6" t="s">
        <v>18</v>
      </c>
    </row>
    <row r="101" spans="1:11" x14ac:dyDescent="0.25">
      <c r="A101" s="1" t="s">
        <v>580</v>
      </c>
      <c r="B101" s="4" t="s">
        <v>581</v>
      </c>
      <c r="C101" s="5">
        <v>-5.2495240000000001</v>
      </c>
      <c r="D101" s="5">
        <v>-38.492610999999997</v>
      </c>
      <c r="E101" s="4" t="s">
        <v>492</v>
      </c>
      <c r="F101" s="4" t="s">
        <v>582</v>
      </c>
      <c r="G101" s="4" t="s">
        <v>583</v>
      </c>
      <c r="H101" s="4" t="s">
        <v>584</v>
      </c>
      <c r="I101" s="4" t="s">
        <v>151</v>
      </c>
      <c r="J101" s="6" t="s">
        <v>837</v>
      </c>
      <c r="K101" s="6" t="s">
        <v>18</v>
      </c>
    </row>
    <row r="102" spans="1:11" hidden="1" x14ac:dyDescent="0.25">
      <c r="A102" s="1" t="s">
        <v>585</v>
      </c>
      <c r="B102" s="4" t="s">
        <v>586</v>
      </c>
      <c r="C102" s="5">
        <v>-4.2260499999999999</v>
      </c>
      <c r="D102" s="5">
        <v>-38.112082999999998</v>
      </c>
      <c r="E102" s="4" t="s">
        <v>587</v>
      </c>
      <c r="F102" s="4" t="s">
        <v>588</v>
      </c>
      <c r="G102" s="4" t="s">
        <v>589</v>
      </c>
      <c r="H102" s="4" t="s">
        <v>590</v>
      </c>
      <c r="I102" s="4" t="s">
        <v>151</v>
      </c>
      <c r="J102" s="6" t="s">
        <v>17</v>
      </c>
      <c r="K102" s="6" t="s">
        <v>178</v>
      </c>
    </row>
    <row r="103" spans="1:11" hidden="1" x14ac:dyDescent="0.25">
      <c r="A103" s="1" t="s">
        <v>591</v>
      </c>
      <c r="B103" s="4" t="s">
        <v>592</v>
      </c>
      <c r="C103" s="5">
        <v>-4.2283499999999998</v>
      </c>
      <c r="D103" s="5">
        <v>-38.112932999999998</v>
      </c>
      <c r="E103" s="4" t="s">
        <v>593</v>
      </c>
      <c r="F103" s="4" t="s">
        <v>594</v>
      </c>
      <c r="G103" s="4" t="s">
        <v>73</v>
      </c>
      <c r="H103" s="4" t="s">
        <v>595</v>
      </c>
      <c r="I103" s="4" t="s">
        <v>101</v>
      </c>
      <c r="J103" s="6" t="s">
        <v>17</v>
      </c>
      <c r="K103" s="6" t="s">
        <v>18</v>
      </c>
    </row>
    <row r="104" spans="1:11" hidden="1" x14ac:dyDescent="0.25">
      <c r="A104" s="1" t="s">
        <v>596</v>
      </c>
      <c r="B104" s="4" t="s">
        <v>597</v>
      </c>
      <c r="C104" s="5">
        <v>-4.5906500000000001</v>
      </c>
      <c r="D104" s="5">
        <v>-38.206983000000001</v>
      </c>
      <c r="E104" s="4" t="s">
        <v>142</v>
      </c>
      <c r="F104" s="4" t="s">
        <v>598</v>
      </c>
      <c r="G104" s="4" t="s">
        <v>599</v>
      </c>
      <c r="H104" s="4" t="s">
        <v>600</v>
      </c>
      <c r="I104" s="4" t="s">
        <v>101</v>
      </c>
      <c r="J104" s="6" t="s">
        <v>17</v>
      </c>
      <c r="K104" s="6" t="s">
        <v>18</v>
      </c>
    </row>
    <row r="105" spans="1:11" hidden="1" x14ac:dyDescent="0.25">
      <c r="A105" s="1" t="s">
        <v>601</v>
      </c>
      <c r="B105" s="4" t="s">
        <v>602</v>
      </c>
      <c r="C105" s="5">
        <v>-3.9187500000000002</v>
      </c>
      <c r="D105" s="5">
        <v>-38.507182999999998</v>
      </c>
      <c r="E105" s="4" t="s">
        <v>104</v>
      </c>
      <c r="F105" s="4" t="s">
        <v>603</v>
      </c>
      <c r="G105" s="4" t="s">
        <v>604</v>
      </c>
      <c r="H105" s="4" t="s">
        <v>605</v>
      </c>
      <c r="I105" s="4" t="s">
        <v>101</v>
      </c>
      <c r="J105" s="6" t="s">
        <v>17</v>
      </c>
      <c r="K105" s="6" t="s">
        <v>178</v>
      </c>
    </row>
    <row r="106" spans="1:11" hidden="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-2.9157660000000001</v>
      </c>
      <c r="D107" s="5">
        <v>-40.170183000000002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17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-3.0767500000000001</v>
      </c>
      <c r="D108" s="5">
        <v>-41.252065999999999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17</v>
      </c>
      <c r="K108" s="6" t="s">
        <v>18</v>
      </c>
    </row>
    <row r="109" spans="1:1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837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804</v>
      </c>
      <c r="K110" s="6" t="s">
        <v>18</v>
      </c>
    </row>
    <row r="111" spans="1:11" hidden="1" x14ac:dyDescent="0.25">
      <c r="A111" s="1" t="s">
        <v>606</v>
      </c>
      <c r="B111" s="4" t="s">
        <v>607</v>
      </c>
      <c r="C111" s="5">
        <v>-3.7752400000000002</v>
      </c>
      <c r="D111" s="5">
        <v>-40.496578999999997</v>
      </c>
      <c r="E111" s="4" t="s">
        <v>608</v>
      </c>
      <c r="F111" s="4" t="s">
        <v>609</v>
      </c>
      <c r="G111" s="4" t="s">
        <v>610</v>
      </c>
      <c r="H111" s="4" t="s">
        <v>611</v>
      </c>
      <c r="I111" s="4" t="s">
        <v>101</v>
      </c>
      <c r="J111" s="6" t="s">
        <v>804</v>
      </c>
      <c r="K111" s="6" t="s">
        <v>18</v>
      </c>
    </row>
    <row r="112" spans="1:11" hidden="1" x14ac:dyDescent="0.25">
      <c r="A112" s="1" t="s">
        <v>612</v>
      </c>
      <c r="B112" s="4" t="s">
        <v>613</v>
      </c>
      <c r="C112" s="5">
        <v>-3.9438659999999999</v>
      </c>
      <c r="D112" s="5">
        <v>-40.889215999999998</v>
      </c>
      <c r="E112" s="4" t="s">
        <v>208</v>
      </c>
      <c r="F112" s="4" t="s">
        <v>614</v>
      </c>
      <c r="G112" s="4" t="s">
        <v>615</v>
      </c>
      <c r="H112" s="4" t="s">
        <v>616</v>
      </c>
      <c r="I112" s="4" t="s">
        <v>101</v>
      </c>
      <c r="J112" s="6" t="s">
        <v>17</v>
      </c>
      <c r="K112" s="6" t="s">
        <v>18</v>
      </c>
    </row>
    <row r="113" spans="1:11" hidden="1" x14ac:dyDescent="0.25">
      <c r="A113" s="1" t="s">
        <v>617</v>
      </c>
      <c r="B113" s="4" t="s">
        <v>618</v>
      </c>
      <c r="C113" s="5">
        <v>-4.7911549999999998</v>
      </c>
      <c r="D113" s="5">
        <v>-40.827958000000002</v>
      </c>
      <c r="E113" s="4" t="s">
        <v>619</v>
      </c>
      <c r="F113" s="4" t="s">
        <v>620</v>
      </c>
      <c r="G113" s="4" t="s">
        <v>621</v>
      </c>
      <c r="H113" s="4" t="s">
        <v>622</v>
      </c>
      <c r="I113" s="4" t="s">
        <v>101</v>
      </c>
      <c r="J113" s="6" t="s">
        <v>804</v>
      </c>
      <c r="K113" s="6" t="s">
        <v>18</v>
      </c>
    </row>
    <row r="114" spans="1:11" hidden="1" x14ac:dyDescent="0.25">
      <c r="A114" s="1" t="s">
        <v>623</v>
      </c>
      <c r="B114" s="4" t="s">
        <v>624</v>
      </c>
      <c r="C114" s="5">
        <v>-3.4767329999999999</v>
      </c>
      <c r="D114" s="5">
        <v>-39.541499999999999</v>
      </c>
      <c r="E114" s="4" t="s">
        <v>415</v>
      </c>
      <c r="F114" s="4" t="s">
        <v>625</v>
      </c>
      <c r="G114" s="4" t="s">
        <v>626</v>
      </c>
      <c r="H114" s="4" t="s">
        <v>627</v>
      </c>
      <c r="I114" s="4" t="s">
        <v>101</v>
      </c>
      <c r="J114" s="6" t="s">
        <v>17</v>
      </c>
      <c r="K114" s="6" t="s">
        <v>18</v>
      </c>
    </row>
    <row r="115" spans="1:11" hidden="1" x14ac:dyDescent="0.25">
      <c r="A115" s="1" t="s">
        <v>628</v>
      </c>
      <c r="B115" s="4" t="s">
        <v>629</v>
      </c>
      <c r="C115" s="5">
        <v>-4.5871829999999996</v>
      </c>
      <c r="D115" s="5">
        <v>-38.620182999999997</v>
      </c>
      <c r="E115" s="4" t="s">
        <v>630</v>
      </c>
      <c r="F115" s="4" t="s">
        <v>631</v>
      </c>
      <c r="G115" s="4" t="s">
        <v>632</v>
      </c>
      <c r="H115" s="4" t="s">
        <v>633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634</v>
      </c>
      <c r="B116" s="4" t="s">
        <v>635</v>
      </c>
      <c r="C116" s="5">
        <v>-3.4662999999999999</v>
      </c>
      <c r="D116" s="5">
        <v>-40.395716</v>
      </c>
      <c r="E116" s="4" t="s">
        <v>235</v>
      </c>
      <c r="F116" s="4" t="s">
        <v>636</v>
      </c>
      <c r="G116" s="4" t="s">
        <v>637</v>
      </c>
      <c r="H116" s="4" t="s">
        <v>638</v>
      </c>
      <c r="I116" s="4" t="s">
        <v>151</v>
      </c>
      <c r="J116" s="6" t="s">
        <v>17</v>
      </c>
      <c r="K116" s="6" t="s">
        <v>18</v>
      </c>
    </row>
    <row r="117" spans="1:11" hidden="1" x14ac:dyDescent="0.25">
      <c r="A117" s="1" t="s">
        <v>639</v>
      </c>
      <c r="B117" s="4" t="s">
        <v>640</v>
      </c>
      <c r="C117" s="5">
        <v>-3.2141000000000002</v>
      </c>
      <c r="D117" s="5">
        <v>-40.864533000000002</v>
      </c>
      <c r="E117" s="4" t="s">
        <v>476</v>
      </c>
      <c r="F117" s="4" t="s">
        <v>641</v>
      </c>
      <c r="G117" s="4" t="s">
        <v>642</v>
      </c>
      <c r="H117" s="4" t="s">
        <v>643</v>
      </c>
      <c r="I117" s="4" t="s">
        <v>101</v>
      </c>
      <c r="J117" s="6" t="s">
        <v>17</v>
      </c>
      <c r="K117" s="6" t="s">
        <v>18</v>
      </c>
    </row>
    <row r="118" spans="1:11" hidden="1" x14ac:dyDescent="0.25">
      <c r="A118" s="1" t="s">
        <v>644</v>
      </c>
      <c r="B118" s="4" t="s">
        <v>645</v>
      </c>
      <c r="C118" s="5">
        <v>-5.0508829999999998</v>
      </c>
      <c r="D118" s="5">
        <v>-37.779632999999997</v>
      </c>
      <c r="E118" s="4" t="s">
        <v>506</v>
      </c>
      <c r="F118" s="4" t="s">
        <v>646</v>
      </c>
      <c r="G118" s="4" t="s">
        <v>647</v>
      </c>
      <c r="H118" s="4" t="s">
        <v>648</v>
      </c>
      <c r="I118" s="4" t="s">
        <v>151</v>
      </c>
      <c r="J118" s="6" t="s">
        <v>17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804</v>
      </c>
      <c r="K119" s="6" t="s">
        <v>18</v>
      </c>
    </row>
    <row r="120" spans="1:11" hidden="1" x14ac:dyDescent="0.25">
      <c r="A120" s="1" t="s">
        <v>649</v>
      </c>
      <c r="B120" s="4" t="s">
        <v>650</v>
      </c>
      <c r="C120" s="5">
        <v>-5.5281140000000004</v>
      </c>
      <c r="D120" s="5">
        <v>-39.517207999999997</v>
      </c>
      <c r="E120" s="4" t="s">
        <v>76</v>
      </c>
      <c r="F120" s="4" t="s">
        <v>651</v>
      </c>
      <c r="G120" s="4" t="s">
        <v>652</v>
      </c>
      <c r="H120" s="4" t="s">
        <v>653</v>
      </c>
      <c r="I120" s="4" t="s">
        <v>101</v>
      </c>
      <c r="J120" s="6" t="s">
        <v>804</v>
      </c>
      <c r="K120" s="6" t="s">
        <v>18</v>
      </c>
    </row>
    <row r="121" spans="1:11" hidden="1" x14ac:dyDescent="0.25">
      <c r="A121" s="1" t="s">
        <v>654</v>
      </c>
      <c r="B121" s="4" t="s">
        <v>655</v>
      </c>
      <c r="C121" s="5">
        <v>-4.338266</v>
      </c>
      <c r="D121" s="5">
        <v>-38.475866000000003</v>
      </c>
      <c r="E121" s="4" t="s">
        <v>104</v>
      </c>
      <c r="F121" s="4" t="s">
        <v>656</v>
      </c>
      <c r="G121" s="4" t="s">
        <v>657</v>
      </c>
      <c r="H121" s="4" t="s">
        <v>658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659</v>
      </c>
      <c r="B122" s="4" t="s">
        <v>660</v>
      </c>
      <c r="C122" s="5">
        <v>-4.2869089999999996</v>
      </c>
      <c r="D122" s="5">
        <v>-38.934477999999999</v>
      </c>
      <c r="E122" s="4" t="s">
        <v>36</v>
      </c>
      <c r="F122" s="4" t="s">
        <v>661</v>
      </c>
      <c r="G122" s="4" t="s">
        <v>662</v>
      </c>
      <c r="H122" s="4" t="s">
        <v>83</v>
      </c>
      <c r="I122" s="4" t="s">
        <v>151</v>
      </c>
      <c r="J122" s="6" t="s">
        <v>804</v>
      </c>
      <c r="K122" s="6" t="s">
        <v>18</v>
      </c>
    </row>
    <row r="123" spans="1:11" hidden="1" x14ac:dyDescent="0.25">
      <c r="A123" s="1" t="s">
        <v>663</v>
      </c>
      <c r="B123" s="4" t="s">
        <v>664</v>
      </c>
      <c r="C123" s="5">
        <v>-3.372366</v>
      </c>
      <c r="D123" s="5">
        <v>-39.299633</v>
      </c>
      <c r="E123" s="4" t="s">
        <v>174</v>
      </c>
      <c r="F123" s="4" t="s">
        <v>665</v>
      </c>
      <c r="G123" s="4" t="s">
        <v>666</v>
      </c>
      <c r="H123" s="4" t="s">
        <v>667</v>
      </c>
      <c r="I123" s="4" t="s">
        <v>151</v>
      </c>
      <c r="J123" s="6" t="s">
        <v>17</v>
      </c>
      <c r="K123" s="6" t="s">
        <v>178</v>
      </c>
    </row>
    <row r="124" spans="1:11" hidden="1" x14ac:dyDescent="0.25">
      <c r="A124" s="1" t="s">
        <v>668</v>
      </c>
      <c r="B124" s="4" t="s">
        <v>669</v>
      </c>
      <c r="C124" s="5">
        <v>-2.8939659999999998</v>
      </c>
      <c r="D124" s="5">
        <v>-40.223399999999998</v>
      </c>
      <c r="E124" s="4" t="s">
        <v>174</v>
      </c>
      <c r="F124" s="4" t="s">
        <v>670</v>
      </c>
      <c r="G124" s="4" t="s">
        <v>671</v>
      </c>
      <c r="H124" s="4" t="s">
        <v>672</v>
      </c>
      <c r="I124" s="4" t="s">
        <v>101</v>
      </c>
      <c r="J124" s="6" t="s">
        <v>17</v>
      </c>
      <c r="K124" s="6" t="s">
        <v>18</v>
      </c>
    </row>
    <row r="125" spans="1:11" hidden="1" x14ac:dyDescent="0.25">
      <c r="A125" s="1" t="s">
        <v>673</v>
      </c>
      <c r="B125" s="4" t="s">
        <v>674</v>
      </c>
      <c r="C125" s="5">
        <v>-4.7071329999999998</v>
      </c>
      <c r="D125" s="5">
        <v>-37.839233</v>
      </c>
      <c r="E125" s="4" t="s">
        <v>25</v>
      </c>
      <c r="F125" s="4" t="s">
        <v>675</v>
      </c>
      <c r="G125" s="4" t="s">
        <v>676</v>
      </c>
      <c r="H125" s="4" t="s">
        <v>27</v>
      </c>
      <c r="I125" s="4" t="s">
        <v>101</v>
      </c>
      <c r="J125" s="6" t="s">
        <v>17</v>
      </c>
      <c r="K125" s="6" t="s">
        <v>18</v>
      </c>
    </row>
    <row r="126" spans="1:11" hidden="1" x14ac:dyDescent="0.25">
      <c r="A126" s="1" t="s">
        <v>677</v>
      </c>
      <c r="B126" s="4" t="s">
        <v>678</v>
      </c>
      <c r="C126" s="5">
        <v>-4.0460330000000004</v>
      </c>
      <c r="D126" s="5">
        <v>-38.206032999999998</v>
      </c>
      <c r="E126" s="4" t="s">
        <v>191</v>
      </c>
      <c r="F126" s="4" t="s">
        <v>679</v>
      </c>
      <c r="G126" s="4" t="s">
        <v>680</v>
      </c>
      <c r="H126" s="4" t="s">
        <v>681</v>
      </c>
      <c r="I126" s="4" t="s">
        <v>101</v>
      </c>
      <c r="J126" s="6" t="s">
        <v>17</v>
      </c>
      <c r="K126" s="6" t="s">
        <v>18</v>
      </c>
    </row>
    <row r="127" spans="1:11" hidden="1" x14ac:dyDescent="0.25">
      <c r="A127" s="1" t="s">
        <v>682</v>
      </c>
      <c r="B127" s="4" t="s">
        <v>683</v>
      </c>
      <c r="C127" s="5">
        <v>-5.5796159999999997</v>
      </c>
      <c r="D127" s="5">
        <v>-38.288649999999997</v>
      </c>
      <c r="E127" s="4" t="s">
        <v>191</v>
      </c>
      <c r="F127" s="4" t="s">
        <v>684</v>
      </c>
      <c r="G127" s="4" t="s">
        <v>685</v>
      </c>
      <c r="H127" s="4" t="s">
        <v>686</v>
      </c>
      <c r="I127" s="4" t="s">
        <v>151</v>
      </c>
      <c r="J127" s="6" t="s">
        <v>17</v>
      </c>
      <c r="K127" s="6" t="s">
        <v>18</v>
      </c>
    </row>
    <row r="128" spans="1:11" hidden="1" x14ac:dyDescent="0.25">
      <c r="A128" s="1" t="s">
        <v>687</v>
      </c>
      <c r="B128" s="4" t="s">
        <v>688</v>
      </c>
      <c r="C128" s="5">
        <v>-5.3889829999999996</v>
      </c>
      <c r="D128" s="5">
        <v>-38.911766</v>
      </c>
      <c r="E128" s="4" t="s">
        <v>689</v>
      </c>
      <c r="F128" s="4" t="s">
        <v>690</v>
      </c>
      <c r="G128" s="4" t="s">
        <v>691</v>
      </c>
      <c r="H128" s="4" t="s">
        <v>692</v>
      </c>
      <c r="I128" s="4" t="s">
        <v>101</v>
      </c>
      <c r="J128" s="6" t="s">
        <v>17</v>
      </c>
      <c r="K128" s="6" t="s">
        <v>18</v>
      </c>
    </row>
    <row r="129" spans="1:11" hidden="1" x14ac:dyDescent="0.25">
      <c r="A129" s="1" t="s">
        <v>693</v>
      </c>
      <c r="B129" s="4" t="s">
        <v>694</v>
      </c>
      <c r="C129" s="5">
        <v>-5.9808000000000003</v>
      </c>
      <c r="D129" s="5">
        <v>-38.884349999999998</v>
      </c>
      <c r="E129" s="4" t="s">
        <v>689</v>
      </c>
      <c r="F129" s="4" t="s">
        <v>695</v>
      </c>
      <c r="G129" s="4" t="s">
        <v>696</v>
      </c>
      <c r="H129" s="4" t="s">
        <v>697</v>
      </c>
      <c r="I129" s="4" t="s">
        <v>101</v>
      </c>
      <c r="J129" s="6" t="s">
        <v>17</v>
      </c>
      <c r="K129" s="6" t="s">
        <v>18</v>
      </c>
    </row>
    <row r="130" spans="1:11" hidden="1" x14ac:dyDescent="0.25">
      <c r="A130" s="1" t="s">
        <v>698</v>
      </c>
      <c r="B130" s="4" t="s">
        <v>699</v>
      </c>
      <c r="C130" s="5">
        <v>-3.5994000000000002</v>
      </c>
      <c r="D130" s="5">
        <v>-38.898966000000001</v>
      </c>
      <c r="E130" s="4" t="s">
        <v>700</v>
      </c>
      <c r="F130" s="4" t="s">
        <v>701</v>
      </c>
      <c r="G130" s="4" t="s">
        <v>702</v>
      </c>
      <c r="H130" s="4" t="s">
        <v>703</v>
      </c>
      <c r="I130" s="4" t="s">
        <v>101</v>
      </c>
      <c r="J130" s="6" t="s">
        <v>17</v>
      </c>
      <c r="K130" s="6" t="s">
        <v>18</v>
      </c>
    </row>
    <row r="131" spans="1:11" hidden="1" x14ac:dyDescent="0.25">
      <c r="A131" s="1" t="s">
        <v>704</v>
      </c>
      <c r="B131" s="4" t="s">
        <v>705</v>
      </c>
      <c r="C131" s="5">
        <v>-4.1112159999999998</v>
      </c>
      <c r="D131" s="5">
        <v>-39.226599999999998</v>
      </c>
      <c r="E131" s="4" t="s">
        <v>706</v>
      </c>
      <c r="F131" s="4" t="s">
        <v>707</v>
      </c>
      <c r="G131" s="4" t="s">
        <v>284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hidden="1" x14ac:dyDescent="0.25">
      <c r="A132" s="1" t="s">
        <v>708</v>
      </c>
      <c r="B132" s="4" t="s">
        <v>709</v>
      </c>
      <c r="C132" s="5">
        <v>-3.3707829999999999</v>
      </c>
      <c r="D132" s="5">
        <v>-39.293933000000003</v>
      </c>
      <c r="E132" s="4" t="s">
        <v>710</v>
      </c>
      <c r="F132" s="4" t="s">
        <v>711</v>
      </c>
      <c r="G132" s="4" t="s">
        <v>712</v>
      </c>
      <c r="H132" s="4" t="s">
        <v>713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714</v>
      </c>
      <c r="B133" s="4" t="s">
        <v>715</v>
      </c>
      <c r="C133" s="5">
        <v>-5.8117999999999999</v>
      </c>
      <c r="D133" s="5">
        <v>-39.429194000000003</v>
      </c>
      <c r="E133" s="4" t="s">
        <v>197</v>
      </c>
      <c r="F133" s="4" t="s">
        <v>716</v>
      </c>
      <c r="G133" s="4" t="s">
        <v>717</v>
      </c>
      <c r="H133" s="4" t="s">
        <v>718</v>
      </c>
      <c r="I133" s="4" t="s">
        <v>101</v>
      </c>
      <c r="J133" s="6" t="s">
        <v>804</v>
      </c>
      <c r="K133" s="6" t="s">
        <v>18</v>
      </c>
    </row>
    <row r="134" spans="1:11" hidden="1" x14ac:dyDescent="0.25">
      <c r="A134" s="1" t="s">
        <v>719</v>
      </c>
      <c r="B134" s="4" t="s">
        <v>720</v>
      </c>
      <c r="C134" s="5">
        <v>-3.304783</v>
      </c>
      <c r="D134" s="5">
        <v>-39.515383</v>
      </c>
      <c r="E134" s="4" t="s">
        <v>174</v>
      </c>
      <c r="F134" s="4" t="s">
        <v>721</v>
      </c>
      <c r="G134" s="4" t="s">
        <v>722</v>
      </c>
      <c r="H134" s="4" t="s">
        <v>723</v>
      </c>
      <c r="I134" s="4" t="s">
        <v>101</v>
      </c>
      <c r="J134" s="6" t="s">
        <v>17</v>
      </c>
      <c r="K134" s="6" t="s">
        <v>18</v>
      </c>
    </row>
    <row r="135" spans="1:11" hidden="1" x14ac:dyDescent="0.25">
      <c r="A135" s="1" t="s">
        <v>724</v>
      </c>
      <c r="B135" s="4" t="s">
        <v>725</v>
      </c>
      <c r="C135" s="5">
        <v>-5.1408160000000001</v>
      </c>
      <c r="D135" s="5">
        <v>-39.719665999999997</v>
      </c>
      <c r="E135" s="4" t="s">
        <v>266</v>
      </c>
      <c r="F135" s="4" t="s">
        <v>726</v>
      </c>
      <c r="G135" s="4" t="s">
        <v>727</v>
      </c>
      <c r="H135" s="4" t="s">
        <v>728</v>
      </c>
      <c r="I135" s="4" t="s">
        <v>101</v>
      </c>
      <c r="J135" s="6" t="s">
        <v>17</v>
      </c>
      <c r="K135" s="6" t="s">
        <v>18</v>
      </c>
    </row>
    <row r="136" spans="1:11" hidden="1" x14ac:dyDescent="0.25">
      <c r="A136" s="1" t="s">
        <v>729</v>
      </c>
      <c r="B136" s="4" t="s">
        <v>730</v>
      </c>
      <c r="C136" s="5">
        <v>-3.4787659999999998</v>
      </c>
      <c r="D136" s="5">
        <v>-39.626750000000001</v>
      </c>
      <c r="E136" s="4" t="s">
        <v>48</v>
      </c>
      <c r="F136" s="4" t="s">
        <v>731</v>
      </c>
      <c r="G136" s="4" t="s">
        <v>626</v>
      </c>
      <c r="H136" s="4" t="s">
        <v>732</v>
      </c>
      <c r="I136" s="4" t="s">
        <v>101</v>
      </c>
      <c r="J136" s="6" t="s">
        <v>17</v>
      </c>
      <c r="K136" s="6" t="s">
        <v>18</v>
      </c>
    </row>
    <row r="137" spans="1:11" hidden="1" x14ac:dyDescent="0.25">
      <c r="A137" s="1" t="s">
        <v>733</v>
      </c>
      <c r="B137" s="4" t="s">
        <v>734</v>
      </c>
      <c r="C137" s="5">
        <v>-3.5617000000000001</v>
      </c>
      <c r="D137" s="5">
        <v>-39.970649999999999</v>
      </c>
      <c r="E137" s="4" t="s">
        <v>241</v>
      </c>
      <c r="F137" s="4" t="s">
        <v>735</v>
      </c>
      <c r="G137" s="4" t="s">
        <v>736</v>
      </c>
      <c r="H137" s="4" t="s">
        <v>737</v>
      </c>
      <c r="I137" s="4" t="s">
        <v>151</v>
      </c>
      <c r="J137" s="6" t="s">
        <v>17</v>
      </c>
      <c r="K137" s="6" t="s">
        <v>18</v>
      </c>
    </row>
    <row r="138" spans="1:11" hidden="1" x14ac:dyDescent="0.25">
      <c r="A138" s="1" t="s">
        <v>738</v>
      </c>
      <c r="B138" s="4" t="s">
        <v>739</v>
      </c>
      <c r="C138" s="5">
        <v>-5.4055679999999997</v>
      </c>
      <c r="D138" s="5">
        <v>-40.298172000000001</v>
      </c>
      <c r="E138" s="4" t="s">
        <v>136</v>
      </c>
      <c r="F138" s="4" t="s">
        <v>740</v>
      </c>
      <c r="G138" s="4" t="s">
        <v>741</v>
      </c>
      <c r="H138" s="4" t="s">
        <v>742</v>
      </c>
      <c r="I138" s="4" t="s">
        <v>101</v>
      </c>
      <c r="J138" s="6" t="s">
        <v>804</v>
      </c>
      <c r="K138" s="6" t="s">
        <v>18</v>
      </c>
    </row>
    <row r="139" spans="1:11" hidden="1" x14ac:dyDescent="0.25">
      <c r="A139" s="1" t="s">
        <v>743</v>
      </c>
      <c r="B139" s="4" t="s">
        <v>744</v>
      </c>
      <c r="C139" s="5">
        <v>-2.9782660000000001</v>
      </c>
      <c r="D139" s="5">
        <v>-39.890166000000001</v>
      </c>
      <c r="E139" s="4" t="s">
        <v>174</v>
      </c>
      <c r="F139" s="4" t="s">
        <v>745</v>
      </c>
      <c r="G139" s="4" t="s">
        <v>746</v>
      </c>
      <c r="H139" s="4" t="s">
        <v>747</v>
      </c>
      <c r="I139" s="4" t="s">
        <v>151</v>
      </c>
      <c r="J139" s="6" t="s">
        <v>17</v>
      </c>
      <c r="K139" s="6" t="s">
        <v>18</v>
      </c>
    </row>
    <row r="140" spans="1:11" hidden="1" x14ac:dyDescent="0.25">
      <c r="A140" s="1" t="s">
        <v>748</v>
      </c>
      <c r="B140" s="4" t="s">
        <v>749</v>
      </c>
      <c r="C140" s="5">
        <v>-2.9087830000000001</v>
      </c>
      <c r="D140" s="5">
        <v>-40.118616000000003</v>
      </c>
      <c r="E140" s="4" t="s">
        <v>560</v>
      </c>
      <c r="F140" s="4" t="s">
        <v>750</v>
      </c>
      <c r="G140" s="4" t="s">
        <v>751</v>
      </c>
      <c r="H140" s="4" t="s">
        <v>752</v>
      </c>
      <c r="I140" s="4" t="s">
        <v>101</v>
      </c>
      <c r="J140" s="6" t="s">
        <v>17</v>
      </c>
      <c r="K140" s="6" t="s">
        <v>18</v>
      </c>
    </row>
    <row r="141" spans="1:11" hidden="1" x14ac:dyDescent="0.25">
      <c r="A141" s="1" t="s">
        <v>753</v>
      </c>
      <c r="B141" s="4" t="s">
        <v>754</v>
      </c>
      <c r="C141" s="5">
        <v>-3.697114</v>
      </c>
      <c r="D141" s="5">
        <v>-40.304628999999998</v>
      </c>
      <c r="E141" s="4" t="s">
        <v>48</v>
      </c>
      <c r="F141" s="4" t="s">
        <v>755</v>
      </c>
      <c r="G141" s="4" t="s">
        <v>51</v>
      </c>
      <c r="H141" s="4" t="s">
        <v>756</v>
      </c>
      <c r="I141" s="4" t="s">
        <v>151</v>
      </c>
      <c r="J141" s="6" t="s">
        <v>804</v>
      </c>
      <c r="K141" s="6" t="s">
        <v>18</v>
      </c>
    </row>
    <row r="142" spans="1:11" hidden="1" x14ac:dyDescent="0.25">
      <c r="A142" s="1" t="s">
        <v>757</v>
      </c>
      <c r="B142" s="4" t="s">
        <v>758</v>
      </c>
      <c r="C142" s="5">
        <v>-3.7188409999999998</v>
      </c>
      <c r="D142" s="5">
        <v>-40.335732</v>
      </c>
      <c r="E142" s="4" t="s">
        <v>58</v>
      </c>
      <c r="F142" s="4" t="s">
        <v>759</v>
      </c>
      <c r="G142" s="4" t="s">
        <v>760</v>
      </c>
      <c r="H142" s="4" t="s">
        <v>761</v>
      </c>
      <c r="I142" s="4" t="s">
        <v>101</v>
      </c>
      <c r="J142" s="6" t="s">
        <v>804</v>
      </c>
      <c r="K142" s="6" t="s">
        <v>18</v>
      </c>
    </row>
    <row r="143" spans="1:11" hidden="1" x14ac:dyDescent="0.25">
      <c r="A143" s="1" t="s">
        <v>762</v>
      </c>
      <c r="B143" s="4" t="s">
        <v>763</v>
      </c>
      <c r="C143" s="5">
        <v>-4.0392330000000003</v>
      </c>
      <c r="D143" s="5">
        <v>-40.474150000000002</v>
      </c>
      <c r="E143" s="4" t="s">
        <v>608</v>
      </c>
      <c r="F143" s="4" t="s">
        <v>764</v>
      </c>
      <c r="G143" s="4" t="s">
        <v>611</v>
      </c>
      <c r="H143" s="4" t="s">
        <v>765</v>
      </c>
      <c r="I143" s="4" t="s">
        <v>151</v>
      </c>
      <c r="J143" s="6" t="s">
        <v>17</v>
      </c>
      <c r="K143" s="6" t="s">
        <v>18</v>
      </c>
    </row>
    <row r="144" spans="1:11" hidden="1" x14ac:dyDescent="0.25">
      <c r="A144" s="1" t="s">
        <v>766</v>
      </c>
      <c r="B144" s="4" t="s">
        <v>767</v>
      </c>
      <c r="C144" s="5">
        <v>-4.1177159999999997</v>
      </c>
      <c r="D144" s="5">
        <v>-40.854500000000002</v>
      </c>
      <c r="E144" s="4" t="s">
        <v>208</v>
      </c>
      <c r="F144" s="4" t="s">
        <v>768</v>
      </c>
      <c r="G144" s="4" t="s">
        <v>769</v>
      </c>
      <c r="H144" s="4" t="s">
        <v>770</v>
      </c>
      <c r="I144" s="4" t="s">
        <v>101</v>
      </c>
      <c r="J144" s="6" t="s">
        <v>17</v>
      </c>
      <c r="K144" s="6" t="s">
        <v>18</v>
      </c>
    </row>
    <row r="145" spans="1:11" hidden="1" x14ac:dyDescent="0.25">
      <c r="A145" s="1" t="s">
        <v>771</v>
      </c>
      <c r="B145" s="4" t="s">
        <v>772</v>
      </c>
      <c r="C145" s="5">
        <v>-4.5583349999999996</v>
      </c>
      <c r="D145" s="5">
        <v>-40.729585999999998</v>
      </c>
      <c r="E145" s="4" t="s">
        <v>619</v>
      </c>
      <c r="F145" s="4" t="s">
        <v>773</v>
      </c>
      <c r="G145" s="4" t="s">
        <v>774</v>
      </c>
      <c r="H145" s="4" t="s">
        <v>775</v>
      </c>
      <c r="I145" s="4" t="s">
        <v>101</v>
      </c>
      <c r="J145" s="6" t="s">
        <v>804</v>
      </c>
      <c r="K145" s="6" t="s">
        <v>18</v>
      </c>
    </row>
    <row r="146" spans="1:11" hidden="1" x14ac:dyDescent="0.25">
      <c r="A146" s="1" t="s">
        <v>776</v>
      </c>
      <c r="B146" s="4" t="s">
        <v>777</v>
      </c>
      <c r="C146" s="5">
        <v>-5.1463979999999996</v>
      </c>
      <c r="D146" s="5">
        <v>-40.670636000000002</v>
      </c>
      <c r="E146" s="4" t="s">
        <v>619</v>
      </c>
      <c r="F146" s="4" t="s">
        <v>778</v>
      </c>
      <c r="G146" s="4" t="s">
        <v>779</v>
      </c>
      <c r="H146" s="4" t="s">
        <v>780</v>
      </c>
      <c r="I146" s="4" t="s">
        <v>101</v>
      </c>
      <c r="J146" s="6" t="s">
        <v>804</v>
      </c>
      <c r="K146" s="6" t="s">
        <v>18</v>
      </c>
    </row>
    <row r="147" spans="1:11" hidden="1" x14ac:dyDescent="0.25">
      <c r="A147" s="1" t="s">
        <v>781</v>
      </c>
      <c r="B147" s="4" t="s">
        <v>782</v>
      </c>
      <c r="C147" s="5">
        <v>-4.0631500000000003</v>
      </c>
      <c r="D147" s="5">
        <v>-40.957650000000001</v>
      </c>
      <c r="E147" s="4" t="s">
        <v>783</v>
      </c>
      <c r="F147" s="4" t="s">
        <v>784</v>
      </c>
      <c r="G147" s="4" t="s">
        <v>785</v>
      </c>
      <c r="H147" s="4" t="s">
        <v>786</v>
      </c>
      <c r="I147" s="4" t="s">
        <v>101</v>
      </c>
      <c r="J147" s="6" t="s">
        <v>17</v>
      </c>
      <c r="K147" s="6" t="s">
        <v>308</v>
      </c>
    </row>
    <row r="148" spans="1:11" hidden="1" x14ac:dyDescent="0.25">
      <c r="A148" s="1" t="s">
        <v>787</v>
      </c>
      <c r="B148" s="4" t="s">
        <v>788</v>
      </c>
      <c r="C148" s="5">
        <v>-3.4559829999999998</v>
      </c>
      <c r="D148" s="5">
        <v>-40.210115999999999</v>
      </c>
      <c r="E148" s="4" t="s">
        <v>789</v>
      </c>
      <c r="F148" s="4" t="s">
        <v>790</v>
      </c>
      <c r="G148" s="4" t="s">
        <v>791</v>
      </c>
      <c r="H148" s="4" t="s">
        <v>792</v>
      </c>
      <c r="I148" s="4" t="s">
        <v>151</v>
      </c>
      <c r="J148" s="6" t="s">
        <v>17</v>
      </c>
      <c r="K148" s="6" t="s">
        <v>18</v>
      </c>
    </row>
    <row r="149" spans="1:11" hidden="1" x14ac:dyDescent="0.25">
      <c r="A149" s="1" t="s">
        <v>793</v>
      </c>
      <c r="B149" s="4" t="s">
        <v>794</v>
      </c>
      <c r="C149" s="5">
        <v>-3.5106660000000001</v>
      </c>
      <c r="D149" s="5">
        <v>-40.385066000000002</v>
      </c>
      <c r="E149" s="4" t="s">
        <v>789</v>
      </c>
      <c r="F149" s="4" t="s">
        <v>795</v>
      </c>
      <c r="G149" s="4" t="s">
        <v>796</v>
      </c>
      <c r="H149" s="4" t="s">
        <v>797</v>
      </c>
      <c r="I149" s="4" t="s">
        <v>101</v>
      </c>
      <c r="J149" s="6" t="s">
        <v>17</v>
      </c>
      <c r="K149" s="6" t="s">
        <v>18</v>
      </c>
    </row>
    <row r="150" spans="1:11" hidden="1" x14ac:dyDescent="0.25">
      <c r="A150" s="1" t="s">
        <v>798</v>
      </c>
      <c r="B150" s="4" t="s">
        <v>799</v>
      </c>
      <c r="C150" s="5">
        <v>-3.5546000000000002</v>
      </c>
      <c r="D150" s="5">
        <v>-40.664700000000003</v>
      </c>
      <c r="E150" s="4" t="s">
        <v>48</v>
      </c>
      <c r="F150" s="4" t="s">
        <v>800</v>
      </c>
      <c r="G150" s="4" t="s">
        <v>801</v>
      </c>
      <c r="H150" s="4" t="s">
        <v>802</v>
      </c>
      <c r="I150" s="4" t="s">
        <v>151</v>
      </c>
      <c r="J150" s="6" t="s">
        <v>17</v>
      </c>
      <c r="K150" s="6" t="s">
        <v>18</v>
      </c>
    </row>
  </sheetData>
  <autoFilter ref="A1:K150" xr:uid="{4DA12617-6B17-4A0E-9E79-EBA6E19B3138}">
    <filterColumn colId="1">
      <filters>
        <filter val="P 113"/>
        <filter val="P 115"/>
        <filter val="P 155"/>
        <filter val="P 195"/>
        <filter val="P 24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57"/>
  <sheetViews>
    <sheetView zoomScale="85" zoomScaleNormal="85" workbookViewId="0">
      <selection activeCell="G168" sqref="A168:G170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28" t="s">
        <v>1</v>
      </c>
      <c r="B1" s="29" t="s">
        <v>4</v>
      </c>
      <c r="C1" s="29" t="s">
        <v>5</v>
      </c>
      <c r="D1" s="30" t="s">
        <v>805</v>
      </c>
      <c r="E1" s="30"/>
      <c r="F1" s="31" t="s">
        <v>806</v>
      </c>
      <c r="G1" s="31"/>
      <c r="H1" s="27" t="s">
        <v>807</v>
      </c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5" t="s">
        <v>808</v>
      </c>
    </row>
    <row r="2" spans="1:29" ht="15" customHeight="1" x14ac:dyDescent="0.25">
      <c r="A2" s="28"/>
      <c r="B2" s="29"/>
      <c r="C2" s="29"/>
      <c r="D2" s="30"/>
      <c r="E2" s="30"/>
      <c r="F2" s="31"/>
      <c r="G2" s="31"/>
      <c r="H2" s="26" t="s">
        <v>809</v>
      </c>
      <c r="I2" s="26"/>
      <c r="J2" s="26"/>
      <c r="K2" s="9" t="s">
        <v>810</v>
      </c>
      <c r="L2" s="9" t="s">
        <v>810</v>
      </c>
      <c r="M2" s="27" t="s">
        <v>811</v>
      </c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5"/>
    </row>
    <row r="3" spans="1:29" ht="15" customHeight="1" x14ac:dyDescent="0.25">
      <c r="A3" s="28"/>
      <c r="B3" s="29"/>
      <c r="C3" s="29"/>
      <c r="D3" s="30"/>
      <c r="E3" s="30"/>
      <c r="F3" s="31"/>
      <c r="G3" s="31"/>
      <c r="H3" s="8" t="s">
        <v>812</v>
      </c>
      <c r="I3" s="8" t="s">
        <v>813</v>
      </c>
      <c r="J3" s="8" t="s">
        <v>814</v>
      </c>
      <c r="K3" s="7" t="s">
        <v>815</v>
      </c>
      <c r="L3" s="7" t="s">
        <v>816</v>
      </c>
      <c r="M3" s="7" t="s">
        <v>817</v>
      </c>
      <c r="N3" s="7" t="s">
        <v>818</v>
      </c>
      <c r="O3" s="7" t="s">
        <v>819</v>
      </c>
      <c r="P3" s="7" t="s">
        <v>820</v>
      </c>
      <c r="Q3" s="7" t="s">
        <v>821</v>
      </c>
      <c r="R3" s="7" t="s">
        <v>822</v>
      </c>
      <c r="S3" s="7" t="s">
        <v>823</v>
      </c>
      <c r="T3" s="7" t="s">
        <v>824</v>
      </c>
      <c r="U3" s="7" t="s">
        <v>825</v>
      </c>
      <c r="V3" s="7" t="s">
        <v>826</v>
      </c>
      <c r="W3" s="7" t="s">
        <v>827</v>
      </c>
      <c r="X3" s="7" t="s">
        <v>828</v>
      </c>
      <c r="Y3" s="7" t="s">
        <v>829</v>
      </c>
      <c r="Z3" s="7" t="s">
        <v>830</v>
      </c>
      <c r="AA3" s="7" t="s">
        <v>831</v>
      </c>
      <c r="AB3" s="7" t="s">
        <v>832</v>
      </c>
      <c r="AC3" s="25"/>
    </row>
    <row r="4" spans="1:29" ht="104.25" customHeight="1" x14ac:dyDescent="0.25">
      <c r="A4" s="28"/>
      <c r="B4" s="29"/>
      <c r="C4" s="29"/>
      <c r="D4" s="22" t="s">
        <v>2</v>
      </c>
      <c r="E4" s="22" t="s">
        <v>3</v>
      </c>
      <c r="F4" s="31"/>
      <c r="G4" s="31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5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hidden="1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1"/>
      <c r="E7" s="21"/>
      <c r="F7" s="20"/>
      <c r="G7" s="20">
        <f t="shared" si="0"/>
        <v>2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3">
        <f t="shared" si="1"/>
        <v>0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hidden="1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1"/>
      <c r="E10" s="21"/>
      <c r="F10" s="20"/>
      <c r="G10" s="20">
        <f t="shared" si="0"/>
        <v>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>
        <f t="shared" si="1"/>
        <v>0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/>
      <c r="E12" s="21"/>
      <c r="F12" s="20"/>
      <c r="G12" s="20">
        <f t="shared" si="0"/>
        <v>2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3">
        <f t="shared" si="1"/>
        <v>0</v>
      </c>
    </row>
    <row r="13" spans="1:29" s="14" customFormat="1" ht="24.95" hidden="1" customHeight="1" x14ac:dyDescent="0.3">
      <c r="A13" s="19" t="s">
        <v>147</v>
      </c>
      <c r="B13" s="19" t="s">
        <v>587</v>
      </c>
      <c r="C13" s="19" t="s">
        <v>833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855</v>
      </c>
      <c r="E14" s="24" t="s">
        <v>856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1"/>
      <c r="E16" s="21"/>
      <c r="F16" s="20"/>
      <c r="G16" s="20">
        <f t="shared" si="0"/>
        <v>2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3">
        <f t="shared" si="1"/>
        <v>0</v>
      </c>
    </row>
    <row r="17" spans="1:29" s="14" customFormat="1" ht="24.95" hidden="1" customHeight="1" x14ac:dyDescent="0.3">
      <c r="A17" s="19" t="s">
        <v>185</v>
      </c>
      <c r="B17" s="19" t="s">
        <v>174</v>
      </c>
      <c r="C17" s="19" t="s">
        <v>186</v>
      </c>
      <c r="D17" s="21"/>
      <c r="E17" s="21"/>
      <c r="F17" s="20"/>
      <c r="G17" s="20">
        <f t="shared" si="0"/>
        <v>2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3">
        <f t="shared" si="1"/>
        <v>0</v>
      </c>
    </row>
    <row r="18" spans="1:29" s="14" customFormat="1" ht="24.95" customHeight="1" x14ac:dyDescent="0.3">
      <c r="A18" s="19" t="s">
        <v>190</v>
      </c>
      <c r="B18" s="19" t="s">
        <v>191</v>
      </c>
      <c r="C18" s="19" t="s">
        <v>192</v>
      </c>
      <c r="D18" s="21"/>
      <c r="E18" s="21"/>
      <c r="F18" s="20"/>
      <c r="G18" s="20">
        <f t="shared" si="0"/>
        <v>2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3">
        <f t="shared" si="1"/>
        <v>0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857</v>
      </c>
      <c r="E19" s="24" t="s">
        <v>858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607</v>
      </c>
      <c r="B20" s="19" t="s">
        <v>608</v>
      </c>
      <c r="C20" s="19" t="s">
        <v>609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613</v>
      </c>
      <c r="B21" s="19" t="s">
        <v>208</v>
      </c>
      <c r="C21" s="19" t="s">
        <v>614</v>
      </c>
      <c r="D21" s="21"/>
      <c r="E21" s="21"/>
      <c r="F21" s="20"/>
      <c r="G21" s="20">
        <f>F21+2</f>
        <v>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3">
        <f t="shared" si="1"/>
        <v>0</v>
      </c>
    </row>
    <row r="22" spans="1:29" s="14" customFormat="1" ht="24.95" hidden="1" customHeight="1" x14ac:dyDescent="0.3">
      <c r="A22" s="19" t="s">
        <v>618</v>
      </c>
      <c r="B22" s="19" t="s">
        <v>619</v>
      </c>
      <c r="C22" s="19" t="s">
        <v>620</v>
      </c>
      <c r="D22" s="21">
        <v>-4.7911549999999998</v>
      </c>
      <c r="E22" s="21">
        <v>-40.827958000000002</v>
      </c>
      <c r="F22" s="20">
        <v>46128</v>
      </c>
      <c r="G22" s="20">
        <f t="shared" ref="G22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624</v>
      </c>
      <c r="B23" s="19" t="s">
        <v>415</v>
      </c>
      <c r="C23" s="19" t="s">
        <v>625</v>
      </c>
      <c r="D23" s="21"/>
      <c r="E23" s="21"/>
      <c r="F23" s="20"/>
      <c r="G23" s="20">
        <f t="shared" si="0"/>
        <v>2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3">
        <f t="shared" si="1"/>
        <v>0</v>
      </c>
    </row>
    <row r="24" spans="1:29" s="14" customFormat="1" ht="24.95" hidden="1" customHeight="1" x14ac:dyDescent="0.3">
      <c r="A24" s="19" t="s">
        <v>629</v>
      </c>
      <c r="B24" s="19" t="s">
        <v>630</v>
      </c>
      <c r="C24" s="19" t="s">
        <v>631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hidden="1" customHeight="1" x14ac:dyDescent="0.3">
      <c r="A25" s="19" t="s">
        <v>635</v>
      </c>
      <c r="B25" s="19" t="s">
        <v>235</v>
      </c>
      <c r="C25" s="19" t="s">
        <v>636</v>
      </c>
      <c r="D25" s="21"/>
      <c r="E25" s="21"/>
      <c r="F25" s="20"/>
      <c r="G25" s="20">
        <f t="shared" si="0"/>
        <v>2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3">
        <f t="shared" si="1"/>
        <v>0</v>
      </c>
    </row>
    <row r="26" spans="1:29" s="14" customFormat="1" ht="24.95" hidden="1" customHeight="1" x14ac:dyDescent="0.3">
      <c r="A26" s="19" t="s">
        <v>640</v>
      </c>
      <c r="B26" s="19" t="s">
        <v>476</v>
      </c>
      <c r="C26" s="19" t="s">
        <v>641</v>
      </c>
      <c r="D26" s="21"/>
      <c r="E26" s="21"/>
      <c r="F26" s="20"/>
      <c r="G26" s="20">
        <f t="shared" si="0"/>
        <v>2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3">
        <f t="shared" si="1"/>
        <v>0</v>
      </c>
    </row>
    <row r="27" spans="1:29" s="14" customFormat="1" ht="24.95" hidden="1" customHeight="1" x14ac:dyDescent="0.3">
      <c r="A27" s="19" t="s">
        <v>645</v>
      </c>
      <c r="B27" s="19" t="s">
        <v>506</v>
      </c>
      <c r="C27" s="19" t="s">
        <v>646</v>
      </c>
      <c r="D27" s="21"/>
      <c r="E27" s="21"/>
      <c r="F27" s="20"/>
      <c r="G27" s="20">
        <f t="shared" si="0"/>
        <v>2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3">
        <f t="shared" si="1"/>
        <v>0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859</v>
      </c>
      <c r="E28" s="24" t="s">
        <v>860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650</v>
      </c>
      <c r="B29" s="19" t="s">
        <v>76</v>
      </c>
      <c r="C29" s="19" t="s">
        <v>651</v>
      </c>
      <c r="D29" s="24" t="s">
        <v>841</v>
      </c>
      <c r="E29" s="24" t="s">
        <v>842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655</v>
      </c>
      <c r="B30" s="19" t="s">
        <v>104</v>
      </c>
      <c r="C30" s="19" t="s">
        <v>656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660</v>
      </c>
      <c r="B31" s="19" t="s">
        <v>36</v>
      </c>
      <c r="C31" s="19" t="s">
        <v>661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664</v>
      </c>
      <c r="B32" s="19" t="s">
        <v>174</v>
      </c>
      <c r="C32" s="19" t="s">
        <v>665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hidden="1" customHeight="1" x14ac:dyDescent="0.25">
      <c r="A33" s="19" t="s">
        <v>669</v>
      </c>
      <c r="B33" s="19" t="s">
        <v>174</v>
      </c>
      <c r="C33" s="19" t="s">
        <v>670</v>
      </c>
      <c r="D33" s="21"/>
      <c r="E33" s="21"/>
      <c r="F33" s="20"/>
      <c r="G33" s="20">
        <f t="shared" si="0"/>
        <v>2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3">
        <f t="shared" si="1"/>
        <v>0</v>
      </c>
    </row>
    <row r="34" spans="1:29" ht="24.95" hidden="1" customHeight="1" x14ac:dyDescent="0.25">
      <c r="A34" s="19" t="s">
        <v>674</v>
      </c>
      <c r="B34" s="19" t="s">
        <v>25</v>
      </c>
      <c r="C34" s="19" t="s">
        <v>675</v>
      </c>
      <c r="D34" s="21"/>
      <c r="E34" s="21"/>
      <c r="F34" s="20"/>
      <c r="G34" s="20">
        <f t="shared" si="0"/>
        <v>2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3">
        <f t="shared" si="1"/>
        <v>0</v>
      </c>
    </row>
    <row r="35" spans="1:29" ht="24.95" hidden="1" customHeight="1" x14ac:dyDescent="0.25">
      <c r="A35" s="19" t="s">
        <v>678</v>
      </c>
      <c r="B35" s="19" t="s">
        <v>191</v>
      </c>
      <c r="C35" s="19" t="s">
        <v>679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hidden="1" customHeight="1" x14ac:dyDescent="0.25">
      <c r="A36" s="19" t="s">
        <v>683</v>
      </c>
      <c r="B36" s="19" t="s">
        <v>191</v>
      </c>
      <c r="C36" s="19" t="s">
        <v>684</v>
      </c>
      <c r="D36" s="21"/>
      <c r="E36" s="21"/>
      <c r="F36" s="20"/>
      <c r="G36" s="20">
        <f t="shared" si="0"/>
        <v>2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3">
        <f t="shared" si="1"/>
        <v>0</v>
      </c>
    </row>
    <row r="37" spans="1:29" ht="24.95" hidden="1" customHeight="1" x14ac:dyDescent="0.25">
      <c r="A37" s="19" t="s">
        <v>688</v>
      </c>
      <c r="B37" s="19" t="s">
        <v>689</v>
      </c>
      <c r="C37" s="19" t="s">
        <v>690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hidden="1" customHeight="1" x14ac:dyDescent="0.25">
      <c r="A38" s="19" t="s">
        <v>694</v>
      </c>
      <c r="B38" s="19" t="s">
        <v>689</v>
      </c>
      <c r="C38" s="19" t="s">
        <v>695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hidden="1" customHeight="1" x14ac:dyDescent="0.25">
      <c r="A39" s="19" t="s">
        <v>699</v>
      </c>
      <c r="B39" s="19" t="s">
        <v>700</v>
      </c>
      <c r="C39" s="19" t="s">
        <v>701</v>
      </c>
      <c r="D39" s="21"/>
      <c r="E39" s="21"/>
      <c r="F39" s="20"/>
      <c r="G39" s="20">
        <f t="shared" si="0"/>
        <v>2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3">
        <f t="shared" si="1"/>
        <v>0</v>
      </c>
    </row>
    <row r="40" spans="1:29" ht="24.95" hidden="1" customHeight="1" x14ac:dyDescent="0.25">
      <c r="A40" s="19" t="s">
        <v>705</v>
      </c>
      <c r="B40" s="19" t="s">
        <v>706</v>
      </c>
      <c r="C40" s="19" t="s">
        <v>707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hidden="1" customHeight="1" x14ac:dyDescent="0.25">
      <c r="A41" s="19" t="s">
        <v>709</v>
      </c>
      <c r="B41" s="19" t="s">
        <v>710</v>
      </c>
      <c r="C41" s="19" t="s">
        <v>711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hidden="1" customHeight="1" x14ac:dyDescent="0.25">
      <c r="A42" s="19" t="s">
        <v>715</v>
      </c>
      <c r="B42" s="19" t="s">
        <v>197</v>
      </c>
      <c r="C42" s="19" t="s">
        <v>716</v>
      </c>
      <c r="D42" s="24" t="s">
        <v>843</v>
      </c>
      <c r="E42" s="24" t="s">
        <v>844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720</v>
      </c>
      <c r="B43" s="19" t="s">
        <v>174</v>
      </c>
      <c r="C43" s="19" t="s">
        <v>721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hidden="1" customHeight="1" x14ac:dyDescent="0.25">
      <c r="A44" s="19" t="s">
        <v>725</v>
      </c>
      <c r="B44" s="19" t="s">
        <v>266</v>
      </c>
      <c r="C44" s="19" t="s">
        <v>726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hidden="1" customHeight="1" x14ac:dyDescent="0.25">
      <c r="A45" s="19" t="s">
        <v>730</v>
      </c>
      <c r="B45" s="19" t="s">
        <v>48</v>
      </c>
      <c r="C45" s="19" t="s">
        <v>731</v>
      </c>
      <c r="D45" s="21"/>
      <c r="E45" s="21"/>
      <c r="F45" s="20"/>
      <c r="G45" s="20">
        <f t="shared" si="0"/>
        <v>2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3">
        <f t="shared" si="1"/>
        <v>0</v>
      </c>
    </row>
    <row r="46" spans="1:29" ht="24.95" hidden="1" customHeight="1" x14ac:dyDescent="0.25">
      <c r="A46" s="19" t="s">
        <v>734</v>
      </c>
      <c r="B46" s="19" t="s">
        <v>241</v>
      </c>
      <c r="C46" s="19" t="s">
        <v>735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hidden="1" customHeight="1" x14ac:dyDescent="0.25">
      <c r="A47" s="19" t="s">
        <v>739</v>
      </c>
      <c r="B47" s="19" t="s">
        <v>136</v>
      </c>
      <c r="C47" s="19" t="s">
        <v>740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744</v>
      </c>
      <c r="B48" s="19" t="s">
        <v>174</v>
      </c>
      <c r="C48" s="19" t="s">
        <v>745</v>
      </c>
      <c r="D48" s="21"/>
      <c r="E48" s="21"/>
      <c r="F48" s="20"/>
      <c r="G48" s="20">
        <f t="shared" si="0"/>
        <v>2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3">
        <f t="shared" si="1"/>
        <v>0</v>
      </c>
    </row>
    <row r="49" spans="1:29" ht="24.95" hidden="1" customHeight="1" x14ac:dyDescent="0.25">
      <c r="A49" s="19" t="s">
        <v>749</v>
      </c>
      <c r="B49" s="19" t="s">
        <v>560</v>
      </c>
      <c r="C49" s="19" t="s">
        <v>750</v>
      </c>
      <c r="D49" s="21"/>
      <c r="E49" s="21"/>
      <c r="F49" s="20"/>
      <c r="G49" s="20">
        <f t="shared" si="0"/>
        <v>2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3">
        <f t="shared" si="1"/>
        <v>0</v>
      </c>
    </row>
    <row r="50" spans="1:29" ht="24.95" hidden="1" customHeight="1" x14ac:dyDescent="0.25">
      <c r="A50" s="19" t="s">
        <v>754</v>
      </c>
      <c r="B50" s="19" t="s">
        <v>48</v>
      </c>
      <c r="C50" s="19" t="s">
        <v>755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758</v>
      </c>
      <c r="B51" s="19" t="s">
        <v>58</v>
      </c>
      <c r="C51" s="19" t="s">
        <v>759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763</v>
      </c>
      <c r="B52" s="19" t="s">
        <v>608</v>
      </c>
      <c r="C52" s="19" t="s">
        <v>764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hidden="1" customHeight="1" x14ac:dyDescent="0.25">
      <c r="A53" s="19" t="s">
        <v>767</v>
      </c>
      <c r="B53" s="19" t="s">
        <v>208</v>
      </c>
      <c r="C53" s="19" t="s">
        <v>768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hidden="1" customHeight="1" x14ac:dyDescent="0.25">
      <c r="A54" s="19" t="s">
        <v>772</v>
      </c>
      <c r="B54" s="19" t="s">
        <v>619</v>
      </c>
      <c r="C54" s="19" t="s">
        <v>773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777</v>
      </c>
      <c r="B55" s="19" t="s">
        <v>619</v>
      </c>
      <c r="C55" s="19" t="s">
        <v>778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782</v>
      </c>
      <c r="B56" s="19" t="s">
        <v>783</v>
      </c>
      <c r="C56" s="19" t="s">
        <v>784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hidden="1" customHeight="1" x14ac:dyDescent="0.25">
      <c r="A57" s="19" t="s">
        <v>788</v>
      </c>
      <c r="B57" s="19" t="s">
        <v>789</v>
      </c>
      <c r="C57" s="19" t="s">
        <v>790</v>
      </c>
      <c r="D57" s="21"/>
      <c r="E57" s="21"/>
      <c r="F57" s="20"/>
      <c r="G57" s="20">
        <f t="shared" si="0"/>
        <v>2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3">
        <f t="shared" si="1"/>
        <v>0</v>
      </c>
    </row>
    <row r="58" spans="1:29" ht="24.95" hidden="1" customHeight="1" x14ac:dyDescent="0.25">
      <c r="A58" s="19" t="s">
        <v>794</v>
      </c>
      <c r="B58" s="19" t="s">
        <v>789</v>
      </c>
      <c r="C58" s="19" t="s">
        <v>795</v>
      </c>
      <c r="D58" s="21"/>
      <c r="E58" s="21"/>
      <c r="F58" s="20"/>
      <c r="G58" s="20">
        <f t="shared" si="0"/>
        <v>2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3">
        <f t="shared" si="1"/>
        <v>0</v>
      </c>
    </row>
    <row r="59" spans="1:29" ht="24.95" hidden="1" customHeight="1" x14ac:dyDescent="0.25">
      <c r="A59" s="19" t="s">
        <v>799</v>
      </c>
      <c r="B59" s="19" t="s">
        <v>48</v>
      </c>
      <c r="C59" s="19" t="s">
        <v>800</v>
      </c>
      <c r="D59" s="21"/>
      <c r="E59" s="21"/>
      <c r="F59" s="20"/>
      <c r="G59" s="20">
        <f t="shared" si="0"/>
        <v>2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3">
        <f t="shared" si="1"/>
        <v>0</v>
      </c>
    </row>
    <row r="60" spans="1:29" ht="24.95" hidden="1" customHeight="1" x14ac:dyDescent="0.25">
      <c r="A60" s="19" t="s">
        <v>315</v>
      </c>
      <c r="B60" s="19" t="s">
        <v>148</v>
      </c>
      <c r="C60" s="19" t="s">
        <v>316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320</v>
      </c>
      <c r="B61" s="19" t="s">
        <v>148</v>
      </c>
      <c r="C61" s="19" t="s">
        <v>321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hidden="1" customHeight="1" x14ac:dyDescent="0.25">
      <c r="A62" s="19" t="s">
        <v>325</v>
      </c>
      <c r="B62" s="19" t="s">
        <v>148</v>
      </c>
      <c r="C62" s="19" t="s">
        <v>326</v>
      </c>
      <c r="D62" s="21"/>
      <c r="E62" s="21"/>
      <c r="F62" s="20"/>
      <c r="G62" s="20">
        <f t="shared" si="0"/>
        <v>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3">
        <f t="shared" si="1"/>
        <v>0</v>
      </c>
    </row>
    <row r="63" spans="1:29" ht="24.95" hidden="1" customHeight="1" x14ac:dyDescent="0.25">
      <c r="A63" s="19" t="s">
        <v>330</v>
      </c>
      <c r="B63" s="19" t="s">
        <v>87</v>
      </c>
      <c r="C63" s="19" t="s">
        <v>331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335</v>
      </c>
      <c r="B64" s="19" t="s">
        <v>336</v>
      </c>
      <c r="C64" s="19" t="s">
        <v>337</v>
      </c>
      <c r="D64" s="21"/>
      <c r="E64" s="21"/>
      <c r="F64" s="20"/>
      <c r="G64" s="20">
        <f t="shared" si="0"/>
        <v>2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3">
        <f t="shared" si="1"/>
        <v>0</v>
      </c>
    </row>
    <row r="65" spans="1:29" ht="24.95" hidden="1" customHeight="1" x14ac:dyDescent="0.25">
      <c r="A65" s="19" t="s">
        <v>341</v>
      </c>
      <c r="B65" s="19" t="s">
        <v>342</v>
      </c>
      <c r="C65" s="19" t="s">
        <v>343</v>
      </c>
      <c r="D65" s="21"/>
      <c r="E65" s="21"/>
      <c r="F65" s="20"/>
      <c r="G65" s="20">
        <f t="shared" si="0"/>
        <v>2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3">
        <f t="shared" si="1"/>
        <v>0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347</v>
      </c>
      <c r="B67" s="19" t="s">
        <v>12</v>
      </c>
      <c r="C67" s="19" t="s">
        <v>348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351</v>
      </c>
      <c r="B68" s="19" t="s">
        <v>352</v>
      </c>
      <c r="C68" s="19" t="s">
        <v>353</v>
      </c>
      <c r="D68" s="21"/>
      <c r="E68" s="21"/>
      <c r="F68" s="20"/>
      <c r="G68" s="20">
        <f t="shared" si="0"/>
        <v>2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3">
        <f t="shared" si="1"/>
        <v>0</v>
      </c>
    </row>
    <row r="69" spans="1:29" ht="24.95" customHeight="1" x14ac:dyDescent="0.25">
      <c r="A69" s="19" t="s">
        <v>357</v>
      </c>
      <c r="B69" s="19" t="s">
        <v>358</v>
      </c>
      <c r="C69" s="19" t="s">
        <v>359</v>
      </c>
      <c r="D69" s="21"/>
      <c r="E69" s="21"/>
      <c r="F69" s="20"/>
      <c r="G69" s="20">
        <f t="shared" si="0"/>
        <v>2</v>
      </c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3">
        <f t="shared" si="1"/>
        <v>0</v>
      </c>
    </row>
    <row r="70" spans="1:29" ht="24.95" customHeight="1" x14ac:dyDescent="0.25">
      <c r="A70" s="19" t="s">
        <v>362</v>
      </c>
      <c r="B70" s="19" t="s">
        <v>363</v>
      </c>
      <c r="C70" s="19" t="s">
        <v>364</v>
      </c>
      <c r="D70" s="21"/>
      <c r="E70" s="21"/>
      <c r="F70" s="20"/>
      <c r="G70" s="20">
        <f t="shared" ref="G70:G133" si="3">F70+2</f>
        <v>2</v>
      </c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3">
        <f t="shared" ref="AC70:AC133" si="4">SUM(H70:AB70)</f>
        <v>0</v>
      </c>
    </row>
    <row r="71" spans="1:29" ht="24.95" hidden="1" customHeight="1" x14ac:dyDescent="0.25">
      <c r="A71" s="19" t="s">
        <v>368</v>
      </c>
      <c r="B71" s="19" t="s">
        <v>369</v>
      </c>
      <c r="C71" s="19" t="s">
        <v>370</v>
      </c>
      <c r="D71" s="21"/>
      <c r="E71" s="21"/>
      <c r="F71" s="20"/>
      <c r="G71" s="20">
        <f t="shared" si="3"/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hidden="1" customHeight="1" x14ac:dyDescent="0.25">
      <c r="A72" s="19" t="s">
        <v>374</v>
      </c>
      <c r="B72" s="19" t="s">
        <v>375</v>
      </c>
      <c r="C72" s="19" t="s">
        <v>376</v>
      </c>
      <c r="D72" s="21"/>
      <c r="E72" s="21"/>
      <c r="F72" s="20"/>
      <c r="G72" s="20">
        <f t="shared" si="3"/>
        <v>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3">
        <f t="shared" si="4"/>
        <v>0</v>
      </c>
    </row>
    <row r="73" spans="1:29" ht="24.95" hidden="1" customHeight="1" x14ac:dyDescent="0.25">
      <c r="A73" s="19" t="s">
        <v>380</v>
      </c>
      <c r="B73" s="19" t="s">
        <v>381</v>
      </c>
      <c r="C73" s="19" t="s">
        <v>382</v>
      </c>
      <c r="D73" s="21"/>
      <c r="E73" s="21"/>
      <c r="F73" s="20"/>
      <c r="G73" s="20">
        <f t="shared" si="3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hidden="1" customHeight="1" x14ac:dyDescent="0.25">
      <c r="A74" s="19" t="s">
        <v>386</v>
      </c>
      <c r="B74" s="19" t="s">
        <v>381</v>
      </c>
      <c r="C74" s="19" t="s">
        <v>387</v>
      </c>
      <c r="D74" s="21"/>
      <c r="E74" s="21"/>
      <c r="F74" s="20"/>
      <c r="G74" s="20">
        <f t="shared" si="3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hidden="1" customHeight="1" x14ac:dyDescent="0.25">
      <c r="A75" s="19" t="s">
        <v>391</v>
      </c>
      <c r="B75" s="19" t="s">
        <v>392</v>
      </c>
      <c r="C75" s="19" t="s">
        <v>393</v>
      </c>
      <c r="D75" s="21"/>
      <c r="E75" s="21"/>
      <c r="F75" s="20"/>
      <c r="G75" s="20">
        <f t="shared" si="3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hidden="1" customHeight="1" x14ac:dyDescent="0.25">
      <c r="A76" s="19" t="s">
        <v>397</v>
      </c>
      <c r="B76" s="19" t="s">
        <v>398</v>
      </c>
      <c r="C76" s="19" t="s">
        <v>399</v>
      </c>
      <c r="D76" s="21"/>
      <c r="E76" s="21"/>
      <c r="F76" s="20"/>
      <c r="G76" s="20">
        <f t="shared" si="3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hidden="1" customHeight="1" x14ac:dyDescent="0.25">
      <c r="A77" s="19" t="s">
        <v>403</v>
      </c>
      <c r="B77" s="19" t="s">
        <v>272</v>
      </c>
      <c r="C77" s="19" t="s">
        <v>404</v>
      </c>
      <c r="D77" s="21"/>
      <c r="E77" s="21"/>
      <c r="F77" s="20"/>
      <c r="G77" s="20">
        <f t="shared" si="3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hidden="1" customHeight="1" x14ac:dyDescent="0.25">
      <c r="A78" s="19" t="s">
        <v>408</v>
      </c>
      <c r="B78" s="19" t="s">
        <v>409</v>
      </c>
      <c r="C78" s="19" t="s">
        <v>410</v>
      </c>
      <c r="D78" s="21"/>
      <c r="E78" s="21"/>
      <c r="F78" s="20"/>
      <c r="G78" s="20">
        <f t="shared" si="3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hidden="1" customHeight="1" x14ac:dyDescent="0.25">
      <c r="A79" s="19" t="s">
        <v>414</v>
      </c>
      <c r="B79" s="19" t="s">
        <v>415</v>
      </c>
      <c r="C79" s="19" t="s">
        <v>416</v>
      </c>
      <c r="D79" s="21"/>
      <c r="E79" s="21"/>
      <c r="F79" s="20"/>
      <c r="G79" s="20">
        <f t="shared" si="3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hidden="1" customHeight="1" x14ac:dyDescent="0.25">
      <c r="A80" s="19" t="s">
        <v>420</v>
      </c>
      <c r="B80" s="19" t="s">
        <v>266</v>
      </c>
      <c r="C80" s="19" t="s">
        <v>421</v>
      </c>
      <c r="D80" s="21"/>
      <c r="E80" s="21"/>
      <c r="F80" s="20"/>
      <c r="G80" s="20">
        <f t="shared" si="3"/>
        <v>2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3">
        <f t="shared" si="4"/>
        <v>0</v>
      </c>
    </row>
    <row r="81" spans="1:29" ht="24.95" hidden="1" customHeight="1" x14ac:dyDescent="0.25">
      <c r="A81" s="19" t="s">
        <v>425</v>
      </c>
      <c r="B81" s="19" t="s">
        <v>426</v>
      </c>
      <c r="C81" s="19" t="s">
        <v>427</v>
      </c>
      <c r="D81" s="21"/>
      <c r="E81" s="21"/>
      <c r="F81" s="20"/>
      <c r="G81" s="20">
        <f t="shared" si="3"/>
        <v>2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3">
        <f t="shared" si="4"/>
        <v>0</v>
      </c>
    </row>
    <row r="82" spans="1:29" ht="24.95" hidden="1" customHeight="1" x14ac:dyDescent="0.25">
      <c r="A82" s="19" t="s">
        <v>431</v>
      </c>
      <c r="B82" s="19" t="s">
        <v>415</v>
      </c>
      <c r="C82" s="19" t="s">
        <v>432</v>
      </c>
      <c r="D82" s="21"/>
      <c r="E82" s="21"/>
      <c r="F82" s="20"/>
      <c r="G82" s="20">
        <f t="shared" si="3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hidden="1" customHeight="1" x14ac:dyDescent="0.25">
      <c r="A83" s="19" t="s">
        <v>436</v>
      </c>
      <c r="B83" s="19" t="s">
        <v>229</v>
      </c>
      <c r="C83" s="19" t="s">
        <v>437</v>
      </c>
      <c r="D83" s="21">
        <v>-4.3755519999999999</v>
      </c>
      <c r="E83" s="21">
        <v>-38.834249999999997</v>
      </c>
      <c r="F83" s="20">
        <v>46107</v>
      </c>
      <c r="G83" s="20">
        <f t="shared" si="3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hidden="1" customHeight="1" x14ac:dyDescent="0.25">
      <c r="A84" s="19" t="s">
        <v>440</v>
      </c>
      <c r="B84" s="19" t="s">
        <v>229</v>
      </c>
      <c r="C84" s="19" t="s">
        <v>441</v>
      </c>
      <c r="D84" s="21"/>
      <c r="E84" s="21"/>
      <c r="F84" s="20"/>
      <c r="G84" s="20">
        <f t="shared" si="3"/>
        <v>2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3">
        <f t="shared" si="4"/>
        <v>0</v>
      </c>
    </row>
    <row r="85" spans="1:29" ht="24.95" hidden="1" customHeight="1" x14ac:dyDescent="0.25">
      <c r="A85" s="19" t="s">
        <v>445</v>
      </c>
      <c r="B85" s="19" t="s">
        <v>446</v>
      </c>
      <c r="C85" s="19" t="s">
        <v>447</v>
      </c>
      <c r="D85" s="21"/>
      <c r="E85" s="21"/>
      <c r="F85" s="20"/>
      <c r="G85" s="20">
        <f t="shared" si="3"/>
        <v>2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3">
        <f t="shared" si="4"/>
        <v>0</v>
      </c>
    </row>
    <row r="86" spans="1:29" ht="24.95" hidden="1" customHeight="1" x14ac:dyDescent="0.25">
      <c r="A86" s="19" t="s">
        <v>451</v>
      </c>
      <c r="B86" s="19" t="s">
        <v>97</v>
      </c>
      <c r="C86" s="19" t="s">
        <v>452</v>
      </c>
      <c r="D86" s="21"/>
      <c r="E86" s="21"/>
      <c r="F86" s="20"/>
      <c r="G86" s="20">
        <f t="shared" si="3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hidden="1" customHeight="1" x14ac:dyDescent="0.25">
      <c r="A87" s="19" t="s">
        <v>456</v>
      </c>
      <c r="B87" s="19" t="s">
        <v>235</v>
      </c>
      <c r="C87" s="19" t="s">
        <v>457</v>
      </c>
      <c r="D87" s="21"/>
      <c r="E87" s="21"/>
      <c r="F87" s="20"/>
      <c r="G87" s="20">
        <f t="shared" si="3"/>
        <v>2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3">
        <f t="shared" si="4"/>
        <v>0</v>
      </c>
    </row>
    <row r="88" spans="1:29" ht="24.95" hidden="1" customHeight="1" x14ac:dyDescent="0.25">
      <c r="A88" s="19" t="s">
        <v>461</v>
      </c>
      <c r="B88" s="19" t="s">
        <v>235</v>
      </c>
      <c r="C88" s="19" t="s">
        <v>462</v>
      </c>
      <c r="D88" s="21">
        <v>-3.6184599999999998</v>
      </c>
      <c r="E88" s="21">
        <v>-40.352547000000001</v>
      </c>
      <c r="F88" s="20">
        <v>46119</v>
      </c>
      <c r="G88" s="20">
        <f t="shared" si="3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hidden="1" customHeight="1" x14ac:dyDescent="0.25">
      <c r="A89" s="19" t="s">
        <v>466</v>
      </c>
      <c r="B89" s="19" t="s">
        <v>235</v>
      </c>
      <c r="C89" s="19" t="s">
        <v>467</v>
      </c>
      <c r="D89" s="21"/>
      <c r="E89" s="21"/>
      <c r="F89" s="20"/>
      <c r="G89" s="20">
        <f t="shared" si="3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hidden="1" customHeight="1" x14ac:dyDescent="0.25">
      <c r="A90" s="19" t="s">
        <v>471</v>
      </c>
      <c r="B90" s="19" t="s">
        <v>472</v>
      </c>
      <c r="C90" s="19" t="s">
        <v>473</v>
      </c>
      <c r="D90" s="24" t="s">
        <v>845</v>
      </c>
      <c r="E90" s="24" t="s">
        <v>846</v>
      </c>
      <c r="F90" s="20">
        <v>46139</v>
      </c>
      <c r="G90" s="20">
        <f t="shared" si="3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hidden="1" customHeight="1" x14ac:dyDescent="0.25">
      <c r="A91" s="19" t="s">
        <v>475</v>
      </c>
      <c r="B91" s="19" t="s">
        <v>476</v>
      </c>
      <c r="C91" s="19" t="s">
        <v>477</v>
      </c>
      <c r="D91" s="21"/>
      <c r="E91" s="21"/>
      <c r="F91" s="20"/>
      <c r="G91" s="20">
        <f t="shared" si="3"/>
        <v>2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3">
        <f t="shared" si="4"/>
        <v>0</v>
      </c>
    </row>
    <row r="92" spans="1:29" ht="24.95" hidden="1" customHeight="1" x14ac:dyDescent="0.25">
      <c r="A92" s="19" t="s">
        <v>481</v>
      </c>
      <c r="B92" s="19" t="s">
        <v>476</v>
      </c>
      <c r="C92" s="19" t="s">
        <v>482</v>
      </c>
      <c r="D92" s="21"/>
      <c r="E92" s="21"/>
      <c r="F92" s="20"/>
      <c r="G92" s="20">
        <f t="shared" si="3"/>
        <v>2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3">
        <f t="shared" si="4"/>
        <v>0</v>
      </c>
    </row>
    <row r="93" spans="1:29" ht="24.95" hidden="1" customHeight="1" x14ac:dyDescent="0.25">
      <c r="A93" s="19" t="s">
        <v>485</v>
      </c>
      <c r="B93" s="19" t="s">
        <v>486</v>
      </c>
      <c r="C93" s="19" t="s">
        <v>487</v>
      </c>
      <c r="D93" s="24" t="s">
        <v>861</v>
      </c>
      <c r="E93" s="24" t="s">
        <v>862</v>
      </c>
      <c r="F93" s="20">
        <v>46142</v>
      </c>
      <c r="G93" s="20">
        <f t="shared" si="3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hidden="1" customHeight="1" x14ac:dyDescent="0.25">
      <c r="A94" s="19" t="s">
        <v>153</v>
      </c>
      <c r="B94" s="19" t="s">
        <v>834</v>
      </c>
      <c r="C94" s="19" t="s">
        <v>835</v>
      </c>
      <c r="D94" s="21">
        <v>-5.0822029999999998</v>
      </c>
      <c r="E94" s="21">
        <v>-39.054245999999999</v>
      </c>
      <c r="F94" s="20">
        <v>46111</v>
      </c>
      <c r="G94" s="20">
        <f t="shared" si="3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customHeight="1" x14ac:dyDescent="0.25">
      <c r="A95" s="19" t="s">
        <v>491</v>
      </c>
      <c r="B95" s="19" t="s">
        <v>492</v>
      </c>
      <c r="C95" s="19" t="s">
        <v>493</v>
      </c>
      <c r="D95" s="21"/>
      <c r="E95" s="21"/>
      <c r="F95" s="20"/>
      <c r="G95" s="20">
        <f t="shared" si="3"/>
        <v>2</v>
      </c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3">
        <f t="shared" si="4"/>
        <v>0</v>
      </c>
    </row>
    <row r="96" spans="1:29" ht="24.95" hidden="1" customHeight="1" x14ac:dyDescent="0.25">
      <c r="A96" s="19" t="s">
        <v>497</v>
      </c>
      <c r="B96" s="19" t="s">
        <v>492</v>
      </c>
      <c r="C96" s="19" t="s">
        <v>498</v>
      </c>
      <c r="D96" s="24" t="s">
        <v>847</v>
      </c>
      <c r="E96" s="24" t="s">
        <v>848</v>
      </c>
      <c r="F96" s="20">
        <v>46139</v>
      </c>
      <c r="G96" s="20">
        <f t="shared" si="3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hidden="1" customHeight="1" x14ac:dyDescent="0.25">
      <c r="A97" s="19" t="s">
        <v>502</v>
      </c>
      <c r="B97" s="19" t="s">
        <v>136</v>
      </c>
      <c r="C97" s="19" t="s">
        <v>503</v>
      </c>
      <c r="D97" s="24" t="s">
        <v>849</v>
      </c>
      <c r="E97" s="24" t="s">
        <v>850</v>
      </c>
      <c r="F97" s="20">
        <v>46139</v>
      </c>
      <c r="G97" s="20">
        <f t="shared" si="3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hidden="1" customHeight="1" x14ac:dyDescent="0.25">
      <c r="A98" s="19" t="s">
        <v>505</v>
      </c>
      <c r="B98" s="19" t="s">
        <v>506</v>
      </c>
      <c r="C98" s="19" t="s">
        <v>507</v>
      </c>
      <c r="D98" s="21"/>
      <c r="E98" s="21"/>
      <c r="F98" s="20"/>
      <c r="G98" s="20">
        <f t="shared" si="3"/>
        <v>2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3">
        <f t="shared" si="4"/>
        <v>0</v>
      </c>
    </row>
    <row r="99" spans="1:29" ht="24.95" hidden="1" customHeight="1" x14ac:dyDescent="0.25">
      <c r="A99" s="19" t="s">
        <v>511</v>
      </c>
      <c r="B99" s="19" t="s">
        <v>506</v>
      </c>
      <c r="C99" s="19" t="s">
        <v>512</v>
      </c>
      <c r="D99" s="21"/>
      <c r="E99" s="21"/>
      <c r="F99" s="20"/>
      <c r="G99" s="20">
        <f t="shared" si="3"/>
        <v>2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3">
        <f t="shared" si="4"/>
        <v>0</v>
      </c>
    </row>
    <row r="100" spans="1:29" ht="24.95" hidden="1" customHeight="1" x14ac:dyDescent="0.25">
      <c r="A100" s="19" t="s">
        <v>516</v>
      </c>
      <c r="B100" s="19" t="s">
        <v>381</v>
      </c>
      <c r="C100" s="19" t="s">
        <v>517</v>
      </c>
      <c r="D100" s="21"/>
      <c r="E100" s="21"/>
      <c r="F100" s="20"/>
      <c r="G100" s="20">
        <f t="shared" si="3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hidden="1" customHeight="1" x14ac:dyDescent="0.25">
      <c r="A101" s="19" t="s">
        <v>521</v>
      </c>
      <c r="B101" s="19" t="s">
        <v>522</v>
      </c>
      <c r="C101" s="19" t="s">
        <v>523</v>
      </c>
      <c r="D101" s="21"/>
      <c r="E101" s="21"/>
      <c r="F101" s="20"/>
      <c r="G101" s="20">
        <f t="shared" si="3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hidden="1" customHeight="1" x14ac:dyDescent="0.25">
      <c r="A102" s="19" t="s">
        <v>527</v>
      </c>
      <c r="B102" s="19" t="s">
        <v>528</v>
      </c>
      <c r="C102" s="19" t="s">
        <v>529</v>
      </c>
      <c r="D102" s="21"/>
      <c r="E102" s="21"/>
      <c r="F102" s="20"/>
      <c r="G102" s="20">
        <f t="shared" si="3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836</v>
      </c>
      <c r="D103" s="21">
        <v>-4.8596729999999999</v>
      </c>
      <c r="E103" s="21">
        <v>-39.052987999999999</v>
      </c>
      <c r="F103" s="20">
        <v>46111</v>
      </c>
      <c r="G103" s="20">
        <f t="shared" si="3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hidden="1" customHeight="1" x14ac:dyDescent="0.25">
      <c r="A104" s="19" t="s">
        <v>533</v>
      </c>
      <c r="B104" s="19" t="s">
        <v>534</v>
      </c>
      <c r="C104" s="19" t="s">
        <v>535</v>
      </c>
      <c r="D104" s="21">
        <v>-4.4447369999999999</v>
      </c>
      <c r="E104" s="21">
        <v>-38.662745999999999</v>
      </c>
      <c r="F104" s="20">
        <v>46107</v>
      </c>
      <c r="G104" s="20">
        <f t="shared" si="3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hidden="1" customHeight="1" x14ac:dyDescent="0.25">
      <c r="A105" s="19" t="s">
        <v>539</v>
      </c>
      <c r="B105" s="19" t="s">
        <v>540</v>
      </c>
      <c r="C105" s="19" t="s">
        <v>541</v>
      </c>
      <c r="D105" s="21">
        <v>-5.1705110000000003</v>
      </c>
      <c r="E105" s="21">
        <v>-40.708150000000003</v>
      </c>
      <c r="F105" s="20">
        <v>46125</v>
      </c>
      <c r="G105" s="20">
        <f t="shared" si="3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hidden="1" customHeight="1" x14ac:dyDescent="0.25">
      <c r="A106" s="19" t="s">
        <v>545</v>
      </c>
      <c r="B106" s="19" t="s">
        <v>492</v>
      </c>
      <c r="C106" s="19" t="s">
        <v>546</v>
      </c>
      <c r="D106" s="21"/>
      <c r="E106" s="21"/>
      <c r="F106" s="20"/>
      <c r="G106" s="20">
        <f t="shared" si="3"/>
        <v>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3">
        <f t="shared" si="4"/>
        <v>0</v>
      </c>
    </row>
    <row r="107" spans="1:29" ht="24.95" hidden="1" customHeight="1" x14ac:dyDescent="0.25">
      <c r="A107" s="19" t="s">
        <v>550</v>
      </c>
      <c r="B107" s="19" t="s">
        <v>358</v>
      </c>
      <c r="C107" s="19" t="s">
        <v>551</v>
      </c>
      <c r="D107" s="21"/>
      <c r="E107" s="21"/>
      <c r="F107" s="20"/>
      <c r="G107" s="20">
        <f t="shared" si="3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863</v>
      </c>
      <c r="E108" s="24" t="s">
        <v>864</v>
      </c>
      <c r="F108" s="20">
        <v>46142</v>
      </c>
      <c r="G108" s="20">
        <f t="shared" si="3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hidden="1" customHeight="1" x14ac:dyDescent="0.25">
      <c r="A109" s="19" t="s">
        <v>555</v>
      </c>
      <c r="B109" s="19" t="s">
        <v>42</v>
      </c>
      <c r="C109" s="19" t="s">
        <v>556</v>
      </c>
      <c r="D109" s="21"/>
      <c r="E109" s="21"/>
      <c r="F109" s="20"/>
      <c r="G109" s="20">
        <f t="shared" si="3"/>
        <v>2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3">
        <f t="shared" si="4"/>
        <v>0</v>
      </c>
    </row>
    <row r="110" spans="1:29" ht="24.95" hidden="1" customHeight="1" x14ac:dyDescent="0.25">
      <c r="A110" s="19" t="s">
        <v>559</v>
      </c>
      <c r="B110" s="19" t="s">
        <v>560</v>
      </c>
      <c r="C110" s="19" t="s">
        <v>561</v>
      </c>
      <c r="D110" s="21">
        <v>-3.6978119999999999</v>
      </c>
      <c r="E110" s="21">
        <v>-40.307443999999997</v>
      </c>
      <c r="F110" s="20">
        <v>46119</v>
      </c>
      <c r="G110" s="20">
        <f t="shared" si="3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hidden="1" customHeight="1" x14ac:dyDescent="0.25">
      <c r="A111" s="19" t="s">
        <v>565</v>
      </c>
      <c r="B111" s="19" t="s">
        <v>208</v>
      </c>
      <c r="C111" s="19" t="s">
        <v>566</v>
      </c>
      <c r="D111" s="21">
        <v>-5.2113269999999998</v>
      </c>
      <c r="E111" s="21">
        <v>-40.696823000000002</v>
      </c>
      <c r="F111" s="20">
        <v>46125</v>
      </c>
      <c r="G111" s="20">
        <f t="shared" si="3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hidden="1" customHeight="1" x14ac:dyDescent="0.25">
      <c r="A112" s="19" t="s">
        <v>570</v>
      </c>
      <c r="B112" s="19" t="s">
        <v>208</v>
      </c>
      <c r="C112" s="19" t="s">
        <v>571</v>
      </c>
      <c r="D112" s="21">
        <v>-4.3822749999999999</v>
      </c>
      <c r="E112" s="21">
        <v>-40.712611000000003</v>
      </c>
      <c r="F112" s="20">
        <v>46131</v>
      </c>
      <c r="G112" s="20">
        <f t="shared" si="3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hidden="1" customHeight="1" x14ac:dyDescent="0.25">
      <c r="A113" s="19" t="s">
        <v>575</v>
      </c>
      <c r="B113" s="19" t="s">
        <v>576</v>
      </c>
      <c r="C113" s="19" t="s">
        <v>577</v>
      </c>
      <c r="D113" s="21"/>
      <c r="E113" s="21"/>
      <c r="F113" s="20"/>
      <c r="G113" s="20">
        <f t="shared" si="3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customHeight="1" x14ac:dyDescent="0.25">
      <c r="A114" s="19" t="s">
        <v>581</v>
      </c>
      <c r="B114" s="19" t="s">
        <v>492</v>
      </c>
      <c r="C114" s="19" t="s">
        <v>582</v>
      </c>
      <c r="D114" s="21"/>
      <c r="E114" s="21"/>
      <c r="F114" s="20"/>
      <c r="G114" s="20">
        <f t="shared" si="3"/>
        <v>2</v>
      </c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3">
        <f t="shared" si="4"/>
        <v>0</v>
      </c>
    </row>
    <row r="115" spans="1:29" ht="24.95" hidden="1" customHeight="1" x14ac:dyDescent="0.25">
      <c r="A115" s="19" t="s">
        <v>586</v>
      </c>
      <c r="B115" s="19" t="s">
        <v>587</v>
      </c>
      <c r="C115" s="19" t="s">
        <v>588</v>
      </c>
      <c r="D115" s="21"/>
      <c r="E115" s="21"/>
      <c r="F115" s="20"/>
      <c r="G115" s="20">
        <f t="shared" si="3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hidden="1" customHeight="1" x14ac:dyDescent="0.25">
      <c r="A116" s="19" t="s">
        <v>592</v>
      </c>
      <c r="B116" s="19" t="s">
        <v>593</v>
      </c>
      <c r="C116" s="19" t="s">
        <v>594</v>
      </c>
      <c r="D116" s="21"/>
      <c r="E116" s="21"/>
      <c r="F116" s="20"/>
      <c r="G116" s="20">
        <f t="shared" si="3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hidden="1" customHeight="1" x14ac:dyDescent="0.25">
      <c r="A117" s="19" t="s">
        <v>597</v>
      </c>
      <c r="B117" s="19" t="s">
        <v>142</v>
      </c>
      <c r="C117" s="19" t="s">
        <v>598</v>
      </c>
      <c r="D117" s="21"/>
      <c r="E117" s="21"/>
      <c r="F117" s="20"/>
      <c r="G117" s="20">
        <f t="shared" si="3"/>
        <v>2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3">
        <f t="shared" si="4"/>
        <v>0</v>
      </c>
    </row>
    <row r="118" spans="1:29" ht="24.95" hidden="1" customHeight="1" x14ac:dyDescent="0.25">
      <c r="A118" s="19" t="s">
        <v>602</v>
      </c>
      <c r="B118" s="19" t="s">
        <v>104</v>
      </c>
      <c r="C118" s="19" t="s">
        <v>603</v>
      </c>
      <c r="D118" s="21"/>
      <c r="E118" s="21"/>
      <c r="F118" s="20"/>
      <c r="G118" s="20">
        <f t="shared" si="3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3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3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1"/>
      <c r="E121" s="21"/>
      <c r="F121" s="20"/>
      <c r="G121" s="20">
        <f t="shared" si="3"/>
        <v>2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3">
        <f t="shared" si="4"/>
        <v>0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3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1"/>
      <c r="E123" s="21"/>
      <c r="F123" s="20"/>
      <c r="G123" s="20">
        <f t="shared" si="3"/>
        <v>2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3">
        <f t="shared" si="4"/>
        <v>0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1"/>
      <c r="E124" s="21"/>
      <c r="F124" s="20"/>
      <c r="G124" s="20">
        <f t="shared" si="3"/>
        <v>2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3">
        <f t="shared" si="4"/>
        <v>0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1"/>
      <c r="E125" s="21"/>
      <c r="F125" s="20"/>
      <c r="G125" s="20">
        <f t="shared" si="3"/>
        <v>2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3">
        <f t="shared" si="4"/>
        <v>0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3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hidden="1" customHeight="1" x14ac:dyDescent="0.25">
      <c r="A127" s="19" t="s">
        <v>213</v>
      </c>
      <c r="B127" s="19" t="s">
        <v>208</v>
      </c>
      <c r="C127" s="19" t="s">
        <v>214</v>
      </c>
      <c r="D127" s="21"/>
      <c r="E127" s="21"/>
      <c r="F127" s="20"/>
      <c r="G127" s="20">
        <f t="shared" si="3"/>
        <v>2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3">
        <f t="shared" si="4"/>
        <v>0</v>
      </c>
    </row>
    <row r="128" spans="1:29" ht="24.95" hidden="1" customHeight="1" x14ac:dyDescent="0.25">
      <c r="A128" s="19" t="s">
        <v>265</v>
      </c>
      <c r="B128" s="19" t="s">
        <v>266</v>
      </c>
      <c r="C128" s="19" t="s">
        <v>267</v>
      </c>
      <c r="D128" s="21"/>
      <c r="E128" s="21"/>
      <c r="F128" s="20"/>
      <c r="G128" s="20">
        <f t="shared" si="3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hidden="1" customHeight="1" x14ac:dyDescent="0.25">
      <c r="A129" s="19" t="s">
        <v>271</v>
      </c>
      <c r="B129" s="19" t="s">
        <v>272</v>
      </c>
      <c r="C129" s="19" t="s">
        <v>273</v>
      </c>
      <c r="D129" s="21"/>
      <c r="E129" s="21"/>
      <c r="F129" s="20"/>
      <c r="G129" s="20">
        <f t="shared" si="3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3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3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3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3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5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6">SUM(H134:AB134)</f>
        <v>1724</v>
      </c>
    </row>
    <row r="135" spans="1:29" ht="24.95" hidden="1" customHeight="1" x14ac:dyDescent="0.25">
      <c r="A135" s="19" t="s">
        <v>287</v>
      </c>
      <c r="B135" s="19" t="s">
        <v>288</v>
      </c>
      <c r="C135" s="19" t="s">
        <v>289</v>
      </c>
      <c r="D135" s="21"/>
      <c r="E135" s="21"/>
      <c r="F135" s="20"/>
      <c r="G135" s="20">
        <f t="shared" si="5"/>
        <v>2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3">
        <f t="shared" si="6"/>
        <v>0</v>
      </c>
    </row>
    <row r="136" spans="1:29" ht="24.95" hidden="1" customHeight="1" x14ac:dyDescent="0.25">
      <c r="A136" s="19" t="s">
        <v>292</v>
      </c>
      <c r="B136" s="19" t="s">
        <v>293</v>
      </c>
      <c r="C136" s="19" t="s">
        <v>294</v>
      </c>
      <c r="D136" s="21"/>
      <c r="E136" s="21"/>
      <c r="F136" s="20"/>
      <c r="G136" s="20">
        <f t="shared" si="5"/>
        <v>2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3">
        <f t="shared" si="6"/>
        <v>0</v>
      </c>
    </row>
    <row r="137" spans="1:29" ht="24.95" hidden="1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5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6"/>
        <v>0</v>
      </c>
    </row>
    <row r="138" spans="1:29" ht="24.95" hidden="1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5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6"/>
        <v>0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1"/>
      <c r="E139" s="21"/>
      <c r="F139" s="20"/>
      <c r="G139" s="20">
        <f t="shared" si="5"/>
        <v>2</v>
      </c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3">
        <f t="shared" si="6"/>
        <v>0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5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6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5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6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5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6"/>
        <v>1451</v>
      </c>
    </row>
    <row r="143" spans="1:29" ht="24.95" hidden="1" customHeight="1" x14ac:dyDescent="0.25">
      <c r="A143" s="19" t="s">
        <v>223</v>
      </c>
      <c r="B143" s="19" t="s">
        <v>148</v>
      </c>
      <c r="C143" s="19" t="s">
        <v>224</v>
      </c>
      <c r="D143" s="21"/>
      <c r="E143" s="21"/>
      <c r="F143" s="20"/>
      <c r="G143" s="20">
        <f t="shared" si="5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6"/>
        <v>0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5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6"/>
        <v>2854</v>
      </c>
    </row>
    <row r="145" spans="1:29" ht="24.95" hidden="1" customHeight="1" x14ac:dyDescent="0.25">
      <c r="A145" s="19" t="s">
        <v>234</v>
      </c>
      <c r="B145" s="19" t="s">
        <v>235</v>
      </c>
      <c r="C145" s="19" t="s">
        <v>236</v>
      </c>
      <c r="D145" s="21"/>
      <c r="E145" s="21"/>
      <c r="F145" s="20"/>
      <c r="G145" s="20">
        <f t="shared" si="5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6"/>
        <v>0</v>
      </c>
    </row>
    <row r="146" spans="1:29" ht="24.95" hidden="1" customHeight="1" x14ac:dyDescent="0.25">
      <c r="A146" s="19" t="s">
        <v>240</v>
      </c>
      <c r="B146" s="19" t="s">
        <v>241</v>
      </c>
      <c r="C146" s="19" t="s">
        <v>242</v>
      </c>
      <c r="D146" s="21"/>
      <c r="E146" s="21"/>
      <c r="F146" s="20"/>
      <c r="G146" s="20">
        <f t="shared" si="5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6"/>
        <v>0</v>
      </c>
    </row>
    <row r="147" spans="1:29" ht="24.95" hidden="1" customHeight="1" x14ac:dyDescent="0.25">
      <c r="A147" s="19" t="s">
        <v>246</v>
      </c>
      <c r="B147" s="19" t="s">
        <v>48</v>
      </c>
      <c r="C147" s="19" t="s">
        <v>247</v>
      </c>
      <c r="D147" s="21"/>
      <c r="E147" s="21"/>
      <c r="F147" s="20"/>
      <c r="G147" s="20">
        <f t="shared" si="5"/>
        <v>2</v>
      </c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3">
        <f t="shared" si="6"/>
        <v>0</v>
      </c>
    </row>
    <row r="148" spans="1:29" ht="24.95" hidden="1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5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6"/>
        <v>0</v>
      </c>
    </row>
    <row r="149" spans="1:29" ht="24.95" hidden="1" customHeight="1" x14ac:dyDescent="0.25">
      <c r="A149" s="19" t="s">
        <v>256</v>
      </c>
      <c r="B149" s="19" t="s">
        <v>42</v>
      </c>
      <c r="C149" s="19" t="s">
        <v>257</v>
      </c>
      <c r="D149" s="21"/>
      <c r="E149" s="21"/>
      <c r="F149" s="20"/>
      <c r="G149" s="20">
        <f t="shared" si="5"/>
        <v>2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3">
        <f t="shared" si="6"/>
        <v>0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5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6"/>
        <v>0</v>
      </c>
    </row>
    <row r="151" spans="1:29" ht="24.95" hidden="1" customHeight="1" x14ac:dyDescent="0.25">
      <c r="A151" s="19" t="s">
        <v>298</v>
      </c>
      <c r="B151" s="19" t="s">
        <v>42</v>
      </c>
      <c r="C151" s="19" t="s">
        <v>299</v>
      </c>
      <c r="D151" s="21"/>
      <c r="E151" s="21"/>
      <c r="F151" s="20"/>
      <c r="G151" s="20">
        <f t="shared" si="5"/>
        <v>2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3">
        <f t="shared" si="6"/>
        <v>0</v>
      </c>
    </row>
    <row r="152" spans="1:29" ht="24.95" hidden="1" customHeight="1" x14ac:dyDescent="0.25">
      <c r="A152" s="19" t="s">
        <v>303</v>
      </c>
      <c r="B152" s="19" t="s">
        <v>304</v>
      </c>
      <c r="C152" s="19" t="s">
        <v>305</v>
      </c>
      <c r="D152" s="21">
        <v>-4.5677839999999996</v>
      </c>
      <c r="E152" s="21">
        <v>-41.220272999999999</v>
      </c>
      <c r="F152" s="20">
        <v>46131</v>
      </c>
      <c r="G152" s="20">
        <f t="shared" si="5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6"/>
        <v>184</v>
      </c>
    </row>
    <row r="153" spans="1:29" ht="24.95" hidden="1" customHeight="1" x14ac:dyDescent="0.25">
      <c r="A153" s="19" t="s">
        <v>310</v>
      </c>
      <c r="B153" s="19" t="s">
        <v>136</v>
      </c>
      <c r="C153" s="19" t="s">
        <v>311</v>
      </c>
      <c r="D153" s="21"/>
      <c r="E153" s="21"/>
      <c r="F153" s="20"/>
      <c r="G153" s="20">
        <f t="shared" si="5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6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0">
      <filters>
        <filter val="P 113"/>
        <filter val="P 115"/>
        <filter val="P 155"/>
        <filter val="P 195"/>
        <filter val="P 24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João Paulo Furtado De Lima</cp:lastModifiedBy>
  <dcterms:created xsi:type="dcterms:W3CDTF">2026-04-15T18:40:52Z</dcterms:created>
  <dcterms:modified xsi:type="dcterms:W3CDTF">2026-05-04T16:29:22Z</dcterms:modified>
</cp:coreProperties>
</file>