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4EAF5FBD-A3DB-41AF-9CEB-F94C49D94A15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3" i="2" l="1"/>
  <c r="G153" i="2"/>
  <c r="AC152" i="2"/>
  <c r="G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G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G120" i="2"/>
  <c r="AC119" i="2"/>
  <c r="G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G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G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<sst xmlns="http://schemas.openxmlformats.org/spreadsheetml/2006/main" count="1883" uniqueCount="894">
  <si>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</si>
  <si>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</si>
  <si>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</si>
  <si>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</si>
  <si>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</si>
  <si>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</si>
  <si>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</si>
  <si>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</si>
  <si>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</si>
  <si>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</si>
  <si>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</si>
  <si>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</si>
  <si>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</si>
  <si>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</si>
  <si>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</si>
  <si>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</si>
  <si>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</si>
  <si>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</si>
  <si>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</si>
  <si>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</si>
  <si>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</si>
  <si>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</si>
  <si>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</si>
  <si>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</si>
  <si>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</si>
  <si>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</si>
  <si>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</si>
  <si>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</si>
  <si>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</si>
  <si>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</si>
  <si>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</si>
  <si>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</si>
  <si>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</si>
  <si>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</si>
  <si>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</si>
  <si>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</si>
  <si>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</si>
  <si>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</si>
  <si>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</si>
  <si>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</si>
  <si>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</si>
  <si>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</si>
  <si>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</si>
  <si>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</si>
  <si>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</si>
  <si>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</si>
  <si>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</si>
  <si>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</si>
  <si>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</si>
  <si>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</si>
  <si>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</si>
  <si>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</si>
  <si>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</si>
  <si>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</si>
  <si>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</si>
  <si>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</si>
  <si>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</si>
  <si>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</si>
  <si>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</si>
  <si>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</si>
  <si>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</si>
  <si>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</si>
  <si>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</si>
  <si>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</si>
  <si>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</si>
  <si>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</si>
  <si>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</si>
  <si>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</si>
  <si>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</si>
  <si>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</si>
  <si>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</si>
  <si>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</si>
  <si>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</si>
  <si>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</si>
  <si>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</si>
  <si>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</si>
  <si>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</si>
  <si>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</si>
  <si>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</si>
  <si>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</si>
  <si>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</si>
  <si>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</si>
  <si>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</si>
  <si>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</si>
  <si>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</si>
  <si>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</si>
  <si>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</si>
  <si>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</si>
  <si>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</si>
  <si>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</si>
  <si>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</si>
  <si>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</si>
  <si>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</si>
  <si>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</si>
  <si>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</si>
  <si>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</si>
  <si>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</si>
  <si>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</si>
  <si>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</si>
  <si>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</si>
  <si>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</si>
  <si>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</si>
  <si>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</si>
  <si>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</si>
  <si>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</si>
  <si>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</si>
  <si>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</si>
  <si>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</si>
  <si>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</si>
  <si>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</si>
  <si>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</si>
  <si>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</si>
  <si>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</si>
  <si>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</si>
  <si>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</si>
  <si>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</si>
  <si>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</si>
  <si>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</si>
  <si>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</si>
  <si>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</si>
  <si>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</si>
  <si>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</si>
  <si>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</si>
  <si>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</si>
  <si>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</si>
  <si>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</si>
  <si>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</si>
  <si>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</si>
  <si>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</si>
  <si>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</si>
  <si>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</si>
  <si>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</si>
  <si>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</si>
  <si>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</si>
  <si>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</si>
  <si>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</si>
  <si>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</si>
  <si>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</si>
  <si>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</si>
  <si>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</si>
  <si>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</si>
  <si>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</si>
  <si>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</si>
  <si>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</si>
  <si>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</si>
  <si>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</si>
  <si>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</si>
  <si>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</si>
  <si>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</si>
  <si>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</si>
  <si>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</si>
  <si>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</si>
  <si>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</si>
  <si>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</si>
  <si>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</si>
  <si>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</si>
  <si>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</si>
  <si>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</si>
  <si>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</si>
  <si>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</si>
  <si>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</si>
  <si>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</si>
  <si>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</si>
  <si>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</si>
  <si>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</si>
  <si>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</si>
  <si>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</si>
  <si>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</si>
  <si>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</si>
  <si>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</si>
  <si>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</si>
  <si>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</si>
  <si>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</si>
  <si>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</si>
  <si>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</si>
  <si>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</si>
  <si>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</si>
  <si>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</si>
  <si>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</si>
  <si>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</si>
  <si>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</si>
  <si>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</si>
  <si>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</si>
  <si>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</si>
  <si>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</si>
  <si>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</si>
  <si>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</si>
  <si>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</si>
  <si>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</si>
  <si>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</si>
  <si>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</si>
  <si>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</si>
  <si>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</si>
  <si>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</si>
  <si>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</si>
  <si>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</si>
  <si>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</si>
  <si>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</si>
  <si>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</si>
  <si>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</si>
  <si>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</si>
  <si>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</si>
  <si>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</si>
  <si>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</si>
  <si>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</si>
  <si>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</si>
  <si>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</si>
  <si>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</si>
  <si>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</si>
  <si>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</si>
  <si>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</si>
  <si>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</si>
  <si>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</si>
  <si>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</si>
  <si>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</si>
  <si>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</si>
  <si>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</si>
  <si>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</si>
  <si>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</si>
  <si>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</si>
  <si>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</si>
  <si>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</si>
  <si>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</si>
  <si>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</si>
  <si>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</si>
  <si>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</si>
  <si>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</si>
  <si>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</si>
  <si>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</si>
  <si>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</si>
  <si>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</si>
  <si>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</si>
  <si>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</si>
  <si>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</si>
  <si>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</si>
  <si>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</si>
  <si>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</si>
  <si>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</si>
  <si>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</si>
  <si>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</si>
  <si>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</si>
  <si>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</si>
  <si>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</si>
  <si>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</si>
  <si>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</si>
  <si>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</si>
  <si>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</si>
  <si>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</si>
  <si>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</si>
  <si>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</si>
  <si>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</si>
  <si>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</si>
  <si>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</si>
  <si>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</si>
  <si>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</si>
  <si>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</si>
  <si>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</si>
  <si>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</si>
  <si>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</si>
  <si>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</si>
  <si>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</si>
  <si>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</si>
  <si>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</si>
  <si>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</si>
  <si>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</si>
  <si>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</si>
  <si>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</si>
  <si>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</si>
  <si>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</si>
  <si>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</si>
  <si>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</si>
  <si>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</si>
  <si>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</si>
  <si>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</si>
  <si>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</si>
  <si>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</si>
  <si>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</si>
  <si>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</si>
  <si>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</si>
  <si>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</si>
  <si>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</si>
  <si>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</si>
  <si>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</si>
  <si>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</si>
  <si>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</si>
  <si>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</si>
  <si>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</si>
  <si>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</si>
  <si>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</si>
  <si>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</si>
  <si>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</si>
  <si>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</si>
  <si>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</si>
  <si>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</si>
  <si>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</si>
  <si>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</si>
  <si>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</si>
  <si>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</si>
  <si>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</si>
  <si>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</si>
  <si>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</si>
  <si>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</si>
  <si>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</si>
  <si>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</si>
  <si>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</si>
  <si>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</si>
  <si>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</si>
  <si>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</si>
  <si>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</si>
  <si>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</si>
  <si>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</si>
  <si>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</si>
  <si>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</si>
  <si>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</si>
  <si>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</si>
  <si>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</si>
  <si>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</si>
  <si>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</si>
  <si>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</si>
  <si>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</si>
  <si>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</si>
  <si>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</si>
  <si>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</si>
  <si>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</si>
  <si>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</si>
  <si>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</si>
  <si>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</si>
  <si>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</si>
  <si>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</si>
  <si>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</si>
  <si>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</si>
  <si>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</si>
  <si>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</si>
  <si>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</si>
  <si>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</si>
  <si>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</si>
  <si>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</si>
  <si>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</si>
  <si>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</si>
  <si>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</si>
  <si>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</si>
  <si>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</si>
  <si>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</si>
  <si>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</si>
  <si>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</si>
  <si>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</si>
  <si>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</si>
  <si>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</si>
  <si>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</si>
  <si>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</si>
  <si>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</si>
  <si>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</si>
  <si>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</si>
  <si>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</si>
  <si>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</si>
  <si>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</si>
  <si>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</si>
  <si>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</si>
  <si>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</si>
  <si>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</si>
  <si>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</si>
  <si>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</si>
  <si>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</si>
  <si>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</si>
  <si>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</si>
  <si>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</si>
  <si>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</si>
  <si>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</si>
  <si>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</si>
  <si>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</si>
  <si>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</si>
  <si>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</si>
  <si>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</si>
  <si>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</si>
  <si>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</si>
  <si>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</si>
  <si>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</si>
  <si>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</si>
  <si>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</si>
  <si>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</si>
  <si>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</si>
  <si>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</si>
  <si>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</si>
  <si>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</si>
  <si>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</si>
  <si>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</si>
  <si>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</si>
  <si>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</si>
  <si>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</si>
  <si>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</si>
  <si>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</si>
  <si>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</si>
  <si>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</si>
  <si>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</si>
  <si>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</si>
  <si>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</si>
  <si>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</si>
  <si>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</si>
  <si>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</si>
  <si>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</si>
  <si>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</si>
  <si>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</si>
  <si>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</si>
  <si>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</si>
  <si>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</si>
  <si>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</si>
  <si>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</si>
  <si>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</si>
  <si>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</si>
  <si>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</si>
  <si>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</si>
  <si>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</si>
  <si>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</si>
  <si>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</si>
  <si>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</si>
  <si>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</si>
  <si>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</si>
  <si>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</si>
  <si>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</si>
  <si>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</si>
  <si>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</si>
  <si>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</si>
  <si>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</si>
  <si>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</si>
  <si>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</si>
  <si>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</si>
  <si>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</si>
  <si>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</si>
  <si>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</si>
  <si>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</si>
  <si>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</si>
  <si>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</si>
  <si>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</si>
  <si>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</si>
  <si>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</si>
  <si>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</si>
  <si>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</si>
  <si>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</si>
  <si>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</si>
  <si>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</si>
  <si>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</si>
  <si>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</si>
  <si>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</si>
  <si>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</si>
  <si>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</si>
  <si>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</si>
  <si>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</si>
  <si>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</si>
  <si>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</si>
  <si>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</si>
  <si>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</si>
  <si>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</si>
  <si>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</si>
  <si>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</si>
  <si>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</si>
  <si>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</si>
  <si>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</si>
  <si>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</si>
  <si>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</si>
  <si>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</si>
  <si>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</si>
  <si>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</si>
  <si>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</si>
  <si>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</si>
  <si>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</si>
  <si>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</si>
  <si>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</si>
  <si>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</si>
  <si>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</si>
  <si>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</si>
  <si>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</si>
  <si>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</si>
  <si>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</si>
  <si>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</si>
  <si>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</si>
  <si>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</si>
  <si>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</si>
  <si>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</si>
  <si>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</si>
  <si>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</si>
  <si>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</si>
  <si>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</si>
  <si>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</si>
  <si>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</si>
  <si>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</si>
  <si>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</si>
  <si>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</si>
  <si>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</si>
  <si>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</si>
  <si>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</si>
  <si>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</si>
  <si>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</si>
  <si>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</si>
  <si>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</si>
  <si>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</si>
  <si>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</si>
  <si>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</si>
  <si>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</si>
  <si>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</si>
  <si>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</si>
  <si>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</si>
  <si>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</si>
  <si>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</si>
  <si>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</si>
  <si>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</si>
  <si>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</si>
  <si>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</si>
  <si>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</si>
  <si>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</si>
  <si>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</si>
  <si>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</si>
  <si>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</si>
  <si>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</si>
  <si>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</si>
  <si>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</si>
  <si>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</si>
  <si>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</si>
  <si>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</si>
  <si>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</si>
  <si>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</si>
  <si>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</si>
  <si>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</si>
  <si>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</si>
  <si>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</si>
  <si>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</si>
  <si>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</si>
  <si>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</si>
  <si>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</si>
  <si>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</si>
  <si>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</si>
  <si>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</si>
  <si>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</si>
  <si>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</si>
  <si>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</si>
  <si>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</si>
  <si>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</si>
  <si>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</si>
  <si>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</si>
  <si>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</si>
  <si>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</si>
  <si>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</si>
  <si>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</si>
  <si>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</si>
  <si>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</si>
  <si>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</si>
  <si>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</si>
  <si>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</si>
  <si>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</si>
  <si>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</si>
  <si>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</si>
  <si>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</si>
  <si>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</si>
  <si>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</si>
  <si>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</si>
  <si>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</si>
  <si>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</si>
  <si>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</si>
  <si>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</si>
  <si>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</si>
  <si>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</si>
  <si>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</si>
  <si>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</si>
  <si>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</si>
  <si>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</si>
  <si>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</si>
  <si>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</si>
  <si>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</si>
  <si>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</si>
  <si>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</si>
  <si>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</si>
  <si>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</si>
  <si>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</si>
  <si>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</si>
  <si>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</si>
  <si>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</si>
  <si>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</si>
  <si>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</si>
  <si>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</si>
  <si>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</si>
  <si>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</si>
  <si>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</si>
  <si>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</si>
  <si>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</si>
  <si>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</si>
  <si>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</si>
  <si>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</si>
  <si>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</si>
  <si>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</si>
  <si>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</si>
  <si>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</si>
  <si>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</si>
  <si>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</si>
  <si>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</si>
  <si>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</si>
  <si>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</si>
  <si>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</si>
  <si>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</si>
  <si>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</si>
  <si>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</si>
  <si>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</si>
  <si>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</si>
  <si>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</si>
  <si>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</si>
  <si>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</si>
  <si>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</si>
  <si>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</si>
  <si>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</si>
  <si>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</si>
  <si>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</si>
  <si>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</si>
  <si>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</si>
  <si>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</si>
  <si>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</si>
  <si>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</si>
  <si>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</si>
  <si>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</si>
  <si>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</si>
  <si>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</si>
  <si>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</si>
  <si>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</si>
  <si>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</si>
  <si>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</si>
  <si>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</si>
  <si>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</si>
  <si>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</si>
  <si>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</si>
  <si>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</si>
  <si>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</si>
  <si>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</si>
  <si>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</si>
  <si>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</si>
  <si>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</si>
  <si>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</si>
  <si>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</si>
  <si>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</si>
  <si>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</si>
  <si>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</si>
  <si>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</si>
  <si>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</si>
  <si>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</si>
  <si>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</si>
  <si>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</si>
  <si>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</si>
  <si>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</si>
  <si>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</si>
  <si>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</si>
  <si>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</si>
  <si>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</si>
  <si>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</si>
  <si>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</si>
  <si>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</si>
  <si>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</si>
  <si>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</si>
  <si>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</si>
  <si>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</si>
  <si>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</si>
  <si>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</si>
  <si>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</si>
  <si>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</si>
  <si>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</si>
  <si>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</si>
  <si>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</si>
  <si>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</si>
  <si>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</si>
  <si>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</si>
  <si>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</si>
  <si>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</si>
  <si>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</si>
  <si>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</si>
  <si>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</si>
  <si>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</si>
  <si>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</si>
  <si>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</si>
  <si>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</si>
  <si>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</si>
  <si>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</si>
  <si>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</si>
  <si>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</si>
  <si>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</si>
  <si>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</si>
  <si>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</si>
  <si>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</si>
  <si>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</si>
  <si>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</si>
  <si>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</si>
  <si>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</si>
  <si>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</si>
  <si>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</si>
  <si>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</si>
  <si>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</si>
  <si>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</si>
  <si>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</si>
  <si>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</si>
  <si>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</si>
  <si>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</si>
  <si>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</si>
  <si>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</si>
  <si>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</si>
  <si>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</si>
  <si>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</si>
  <si>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</si>
  <si>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</si>
  <si>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</si>
  <si>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</si>
  <si>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</si>
  <si>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</si>
  <si>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</si>
  <si>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</si>
  <si>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</si>
  <si>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</si>
  <si>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</si>
  <si>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</si>
  <si>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</si>
  <si>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</si>
  <si>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</si>
  <si>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</si>
  <si>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</si>
  <si>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</si>
  <si>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</si>
  <si>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</si>
  <si>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</si>
  <si>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</si>
  <si>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</si>
  <si>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</si>
  <si>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</si>
  <si>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</si>
  <si>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</si>
  <si>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</si>
  <si>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</si>
  <si>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</si>
  <si>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</si>
  <si>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</si>
  <si>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</si>
  <si>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</si>
  <si>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</si>
  <si>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</si>
  <si>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</si>
  <si>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</si>
  <si>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</si>
  <si>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</si>
  <si>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</si>
  <si>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</si>
  <si>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</si>
  <si>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</si>
  <si>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</si>
  <si>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</si>
  <si>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</si>
  <si>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</si>
  <si>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</si>
  <si>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</si>
  <si>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</si>
  <si>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</si>
  <si>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</si>
  <si>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</si>
  <si>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</si>
  <si>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</si>
  <si>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</si>
  <si>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</si>
  <si>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</si>
  <si>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</si>
  <si>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</si>
  <si>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</si>
  <si>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</si>
  <si>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</si>
  <si>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</si>
  <si>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</si>
  <si>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</si>
  <si>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</si>
  <si>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</si>
  <si>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</si>
  <si>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</si>
  <si>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</si>
  <si>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</si>
  <si>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</si>
  <si>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</si>
  <si>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</si>
  <si>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</si>
  <si>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</si>
  <si>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</si>
  <si>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</si>
  <si>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</si>
  <si>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</si>
  <si>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</si>
  <si>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</si>
  <si>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</si>
  <si>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</si>
  <si>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</si>
  <si>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</si>
  <si>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</si>
  <si>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</si>
  <si>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</si>
  <si>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</si>
  <si>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</si>
  <si>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</si>
  <si>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</si>
  <si>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</si>
  <si>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</si>
  <si>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</si>
  <si>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</si>
  <si>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</si>
  <si>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</si>
  <si>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</si>
  <si>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</si>
  <si>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</si>
  <si>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</si>
  <si>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</si>
  <si>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</si>
  <si>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</si>
  <si>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</si>
  <si>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</si>
  <si>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EM ANDAMENTO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</si>
  <si>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</si>
  <si>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</si>
  <si>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</si>
  <si>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</si>
  <si>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</si>
  <si>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</si>
  <si>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</si>
  <si>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</si>
  <si>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</si>
  <si>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</si>
  <si>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</si>
  <si>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</si>
  <si>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</si>
  <si>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</si>
  <si>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</si>
  <si>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</si>
  <si>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</si>
  <si>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</si>
  <si>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</si>
  <si>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</si>
  <si>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</si>
  <si>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</si>
  <si>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</si>
  <si>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</si>
  <si>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</si>
  <si>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</si>
  <si>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</si>
  <si>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</si>
  <si>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</si>
  <si>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 xml:space="preserve"> -5,194903°</t>
  </si>
  <si>
    <t xml:space="preserve"> -40,633378°</t>
  </si>
  <si>
    <t>040ECE0220E0</t>
  </si>
  <si>
    <t xml:space="preserve"> -3,775240°</t>
  </si>
  <si>
    <t xml:space="preserve"> -40,496579°</t>
  </si>
  <si>
    <t xml:space="preserve"> -4,286909°</t>
  </si>
  <si>
    <t xml:space="preserve"> -38,934478°</t>
  </si>
  <si>
    <t xml:space="preserve"> -5,405568°</t>
  </si>
  <si>
    <t xml:space="preserve"> -40,298172°</t>
  </si>
  <si>
    <t xml:space="preserve"> -3,697114°</t>
  </si>
  <si>
    <t xml:space="preserve"> -40,304629°</t>
  </si>
  <si>
    <t xml:space="preserve"> -3,718841°</t>
  </si>
  <si>
    <t xml:space="preserve"> -40,335732°</t>
  </si>
  <si>
    <t xml:space="preserve"> -5,146398°</t>
  </si>
  <si>
    <t xml:space="preserve"> -40,670636°</t>
  </si>
  <si>
    <t xml:space="preserve"> -4,228675°</t>
  </si>
  <si>
    <t xml:space="preserve"> -38,906652°</t>
  </si>
  <si>
    <t xml:space="preserve"> -4,963390°</t>
  </si>
  <si>
    <t xml:space="preserve"> -39,039115°</t>
  </si>
  <si>
    <t xml:space="preserve"> -4,375552°</t>
  </si>
  <si>
    <t xml:space="preserve"> -38,834250°</t>
  </si>
  <si>
    <t xml:space="preserve"> -3,618460°</t>
  </si>
  <si>
    <t xml:space="preserve"> -40,352547°</t>
  </si>
  <si>
    <t>BR-122</t>
  </si>
  <si>
    <t>122BCE0070S0</t>
  </si>
  <si>
    <t xml:space="preserve"> -5,082203°</t>
  </si>
  <si>
    <t xml:space="preserve"> -39,054246°</t>
  </si>
  <si>
    <t>456ECE0050S0</t>
  </si>
  <si>
    <t xml:space="preserve"> -4,859673°</t>
  </si>
  <si>
    <t xml:space="preserve"> -39,052988°</t>
  </si>
  <si>
    <t xml:space="preserve"> -4,444737°</t>
  </si>
  <si>
    <t xml:space="preserve"> -38,662746°</t>
  </si>
  <si>
    <t xml:space="preserve"> -5,170511°</t>
  </si>
  <si>
    <t xml:space="preserve"> -40,708150°</t>
  </si>
  <si>
    <t xml:space="preserve"> -3,697812°</t>
  </si>
  <si>
    <t xml:space="preserve"> -40,307444°</t>
  </si>
  <si>
    <t xml:space="preserve"> -5,211327°</t>
  </si>
  <si>
    <t xml:space="preserve"> -40,696823°</t>
  </si>
  <si>
    <t xml:space="preserve"> -4,964336°</t>
  </si>
  <si>
    <t xml:space="preserve"> -38,996361°</t>
  </si>
  <si>
    <t xml:space="preserve"> -4,198071°</t>
  </si>
  <si>
    <t xml:space="preserve"> -38,904390°</t>
  </si>
  <si>
    <t xml:space="preserve"> -4,230585°</t>
  </si>
  <si>
    <t xml:space="preserve"> -38,930357°</t>
  </si>
  <si>
    <t xml:space="preserve"> -4,405651°</t>
  </si>
  <si>
    <t xml:space="preserve"> -39,049228°</t>
  </si>
  <si>
    <t xml:space="preserve"> -4,436499°</t>
  </si>
  <si>
    <t xml:space="preserve"> -39,025733°</t>
  </si>
  <si>
    <t xml:space="preserve"> -4,410227° </t>
  </si>
  <si>
    <t xml:space="preserve"> -39,059132°</t>
  </si>
  <si>
    <t xml:space="preserve"> -4,860409°</t>
  </si>
  <si>
    <t xml:space="preserve"> -39,051762°</t>
  </si>
  <si>
    <t xml:space="preserve"> -4,287055°</t>
  </si>
  <si>
    <t xml:space="preserve"> -38,933565°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</si>
</sst>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0" fontId="4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view="pageBreakPreview" topLeftCell="B1" zoomScale="115" zoomScaleNormal="100" zoomScaleSheetLayoutView="115" workbookViewId="0">
      <pane ySplit="1" topLeftCell="A5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-4.7531330000000001</v>
      </c>
      <c r="D2" s="5">
        <v>-40.838349999999998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17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-4.7543660000000001</v>
      </c>
      <c r="D3" s="5">
        <v>-40.819200000000002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17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-4.9539</v>
      </c>
      <c r="D5" s="5">
        <v>-38.969065999999998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811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-4.8592380000000004</v>
      </c>
      <c r="D13" s="5">
        <v>-39.044741000000002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811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-4.9426909999999999</v>
      </c>
      <c r="D14" s="5">
        <v>-40.539197000000001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17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-4.4024999999999999</v>
      </c>
      <c r="D16" s="5">
        <v>-40.700612999999997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17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-4.2882720000000001</v>
      </c>
      <c r="D18" s="5">
        <v>-38.933008000000001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811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-4.2222249999999999</v>
      </c>
      <c r="D27" s="5">
        <v>-38.911808000000001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811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-4.2306800000000004</v>
      </c>
      <c r="D28" s="5">
        <v>-38.928865999999999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811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-4.4091050000000003</v>
      </c>
      <c r="D29" s="5">
        <v>-39.047590999999997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811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-4.4320380000000004</v>
      </c>
      <c r="D30" s="5">
        <v>-39.039408000000002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811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-4.4159579999999998</v>
      </c>
      <c r="D31" s="5">
        <v>-39.055708000000003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811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-4.7343099999999998</v>
      </c>
      <c r="D35" s="5">
        <v>-40.935896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17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-4.2270329999999996</v>
      </c>
      <c r="D43" s="5">
        <v>-38.910232999999998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811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-4.5646829999999996</v>
      </c>
      <c r="D46" s="5">
        <v>-40.746032999999997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17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-4.962466</v>
      </c>
      <c r="D49" s="5">
        <v>-39.042650000000002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811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-5.1920500000000001</v>
      </c>
      <c r="D50" s="5">
        <v>-40.638382999999997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810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-4.7058160000000004</v>
      </c>
      <c r="D51" s="5">
        <v>-40.534300000000002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17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-4.3483330000000002</v>
      </c>
      <c r="D69" s="5">
        <v>-38.860782999999998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811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-3.6392329999999999</v>
      </c>
      <c r="D74" s="5">
        <v>-40.353865999999996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811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-5.082166</v>
      </c>
      <c r="D80" s="5">
        <v>-39.054299999999998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811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-4.8562000000000003</v>
      </c>
      <c r="D90" s="5">
        <v>-39.055132999999998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811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-4.3311159999999997</v>
      </c>
      <c r="D91" s="5">
        <v>-38.755600000000001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811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-5.1704999999999997</v>
      </c>
      <c r="D92" s="5">
        <v>-40.702582999999997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810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-3.6904659999999998</v>
      </c>
      <c r="D97" s="5">
        <v>-40.30265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811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-5.2122000000000002</v>
      </c>
      <c r="D98" s="5">
        <v>-40.697533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810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-4.3929830000000001</v>
      </c>
      <c r="D99" s="5">
        <v>-40.714516000000003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17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-3.7783660000000001</v>
      </c>
      <c r="D111" s="5">
        <v>-40.499316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811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-4.7604660000000001</v>
      </c>
      <c r="D113" s="5">
        <v>-40.830300000000001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17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-4.2880500000000001</v>
      </c>
      <c r="D122" s="5">
        <v>-38.935715999999999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811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-5.4058000000000002</v>
      </c>
      <c r="D138" s="5">
        <v>-40.297283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810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-3.6894999999999998</v>
      </c>
      <c r="D141" s="5">
        <v>-40.299666000000002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811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-3.7202829999999998</v>
      </c>
      <c r="D142" s="5">
        <v>-40.335915999999997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811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-4.5586159999999998</v>
      </c>
      <c r="D145" s="5">
        <v>-40.729683000000001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17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-5.1465329999999998</v>
      </c>
      <c r="D146" s="5">
        <v>-40.670616000000003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810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="70" zoomScaleNormal="70" workbookViewId="0">
      <selection activeCell="U6" sqref="U6"/>
    </sheetView>
  </sheetViews>
  <sheetFormatPr defaultRowHeight="15" x14ac:dyDescent="0.25"/>
  <cols>
    <col min="1" max="1" width="9.140625" style="29"/>
    <col min="2" max="2" width="11" customWidth="1"/>
    <col min="3" max="3" width="19" customWidth="1"/>
    <col min="4" max="4" width="19.140625" bestFit="1" customWidth="1"/>
    <col min="5" max="5" width="19.5703125" bestFit="1" customWidth="1"/>
    <col min="6" max="6" width="17.85546875" customWidth="1"/>
    <col min="7" max="7" width="17.42578125" style="30" customWidth="1"/>
    <col min="8" max="10" width="9.42578125" style="30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7" t="s">
        <v>1</v>
      </c>
      <c r="B1" s="8" t="s">
        <v>4</v>
      </c>
      <c r="C1" s="8" t="s">
        <v>5</v>
      </c>
      <c r="D1" s="7" t="s">
        <v>812</v>
      </c>
      <c r="E1" s="7"/>
      <c r="F1" s="9" t="s">
        <v>813</v>
      </c>
      <c r="G1" s="9"/>
      <c r="H1" s="10" t="s">
        <v>814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1" t="s">
        <v>815</v>
      </c>
    </row>
    <row r="2" spans="1:29" ht="15" customHeight="1" x14ac:dyDescent="0.25">
      <c r="A2" s="7"/>
      <c r="B2" s="8"/>
      <c r="C2" s="8"/>
      <c r="D2" s="7"/>
      <c r="E2" s="7"/>
      <c r="F2" s="9"/>
      <c r="G2" s="9"/>
      <c r="H2" s="12" t="s">
        <v>816</v>
      </c>
      <c r="I2" s="12"/>
      <c r="J2" s="12"/>
      <c r="K2" s="13" t="s">
        <v>817</v>
      </c>
      <c r="L2" s="13" t="s">
        <v>817</v>
      </c>
      <c r="M2" s="10" t="s">
        <v>818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1"/>
    </row>
    <row r="3" spans="1:29" ht="15" customHeight="1" x14ac:dyDescent="0.25">
      <c r="A3" s="7"/>
      <c r="B3" s="8"/>
      <c r="C3" s="8"/>
      <c r="D3" s="7"/>
      <c r="E3" s="7"/>
      <c r="F3" s="9"/>
      <c r="G3" s="9"/>
      <c r="H3" s="14" t="s">
        <v>819</v>
      </c>
      <c r="I3" s="14" t="s">
        <v>820</v>
      </c>
      <c r="J3" s="14" t="s">
        <v>821</v>
      </c>
      <c r="K3" s="15" t="s">
        <v>822</v>
      </c>
      <c r="L3" s="15" t="s">
        <v>823</v>
      </c>
      <c r="M3" s="15" t="s">
        <v>824</v>
      </c>
      <c r="N3" s="15" t="s">
        <v>825</v>
      </c>
      <c r="O3" s="15" t="s">
        <v>826</v>
      </c>
      <c r="P3" s="15" t="s">
        <v>827</v>
      </c>
      <c r="Q3" s="15" t="s">
        <v>828</v>
      </c>
      <c r="R3" s="15" t="s">
        <v>829</v>
      </c>
      <c r="S3" s="15" t="s">
        <v>830</v>
      </c>
      <c r="T3" s="15" t="s">
        <v>831</v>
      </c>
      <c r="U3" s="15" t="s">
        <v>832</v>
      </c>
      <c r="V3" s="15" t="s">
        <v>833</v>
      </c>
      <c r="W3" s="15" t="s">
        <v>834</v>
      </c>
      <c r="X3" s="15" t="s">
        <v>835</v>
      </c>
      <c r="Y3" s="15" t="s">
        <v>836</v>
      </c>
      <c r="Z3" s="15" t="s">
        <v>837</v>
      </c>
      <c r="AA3" s="15" t="s">
        <v>838</v>
      </c>
      <c r="AB3" s="15" t="s">
        <v>839</v>
      </c>
      <c r="AC3" s="11"/>
    </row>
    <row r="4" spans="1:29" ht="104.25" customHeight="1" x14ac:dyDescent="0.25">
      <c r="A4" s="7"/>
      <c r="B4" s="8"/>
      <c r="C4" s="8"/>
      <c r="D4" s="16" t="s">
        <v>2</v>
      </c>
      <c r="E4" s="16" t="s">
        <v>3</v>
      </c>
      <c r="F4" s="9"/>
      <c r="G4" s="9"/>
      <c r="H4" s="17"/>
      <c r="I4" s="17"/>
      <c r="J4" s="17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1"/>
    </row>
    <row r="5" spans="1:29" s="24" customFormat="1" ht="24.95" customHeight="1" x14ac:dyDescent="0.3">
      <c r="A5" s="19" t="s">
        <v>96</v>
      </c>
      <c r="B5" s="19" t="s">
        <v>97</v>
      </c>
      <c r="C5" s="19" t="s">
        <v>98</v>
      </c>
      <c r="D5" s="20"/>
      <c r="E5" s="20"/>
      <c r="F5" s="21"/>
      <c r="G5" s="21">
        <f>F5+2</f>
        <v>2</v>
      </c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3">
        <f>SUM(H5:AB5)</f>
        <v>0</v>
      </c>
    </row>
    <row r="6" spans="1:29" s="24" customFormat="1" ht="24.95" customHeight="1" x14ac:dyDescent="0.3">
      <c r="A6" s="19" t="s">
        <v>103</v>
      </c>
      <c r="B6" s="19" t="s">
        <v>104</v>
      </c>
      <c r="C6" s="19" t="s">
        <v>105</v>
      </c>
      <c r="D6" s="20"/>
      <c r="E6" s="20"/>
      <c r="F6" s="21"/>
      <c r="G6" s="21">
        <f t="shared" ref="G6:G69" si="0">F6+2</f>
        <v>2</v>
      </c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3">
        <f t="shared" ref="AC6:AC69" si="1">SUM(H6:AB6)</f>
        <v>0</v>
      </c>
    </row>
    <row r="7" spans="1:29" s="24" customFormat="1" ht="24.95" customHeight="1" x14ac:dyDescent="0.3">
      <c r="A7" s="19" t="s">
        <v>109</v>
      </c>
      <c r="B7" s="19" t="s">
        <v>104</v>
      </c>
      <c r="C7" s="19" t="s">
        <v>110</v>
      </c>
      <c r="D7" s="20"/>
      <c r="E7" s="20"/>
      <c r="F7" s="21"/>
      <c r="G7" s="21">
        <f t="shared" si="0"/>
        <v>2</v>
      </c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3">
        <f t="shared" si="1"/>
        <v>0</v>
      </c>
    </row>
    <row r="8" spans="1:29" s="24" customFormat="1" ht="24.95" customHeight="1" x14ac:dyDescent="0.3">
      <c r="A8" s="19" t="s">
        <v>114</v>
      </c>
      <c r="B8" s="19" t="s">
        <v>115</v>
      </c>
      <c r="C8" s="19" t="s">
        <v>116</v>
      </c>
      <c r="D8" s="20"/>
      <c r="E8" s="20"/>
      <c r="F8" s="21"/>
      <c r="G8" s="21">
        <f t="shared" si="0"/>
        <v>2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3">
        <f t="shared" si="1"/>
        <v>0</v>
      </c>
    </row>
    <row r="9" spans="1:29" s="24" customFormat="1" ht="24.95" customHeight="1" x14ac:dyDescent="0.3">
      <c r="A9" s="19" t="s">
        <v>120</v>
      </c>
      <c r="B9" s="19" t="s">
        <v>115</v>
      </c>
      <c r="C9" s="19" t="s">
        <v>121</v>
      </c>
      <c r="D9" s="20"/>
      <c r="E9" s="20"/>
      <c r="F9" s="21"/>
      <c r="G9" s="21">
        <f t="shared" si="0"/>
        <v>2</v>
      </c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3">
        <f t="shared" si="1"/>
        <v>0</v>
      </c>
    </row>
    <row r="10" spans="1:29" s="24" customFormat="1" ht="24.95" customHeight="1" x14ac:dyDescent="0.3">
      <c r="A10" s="19" t="s">
        <v>125</v>
      </c>
      <c r="B10" s="19" t="s">
        <v>115</v>
      </c>
      <c r="C10" s="19" t="s">
        <v>126</v>
      </c>
      <c r="D10" s="20"/>
      <c r="E10" s="20"/>
      <c r="F10" s="21"/>
      <c r="G10" s="21">
        <f t="shared" si="0"/>
        <v>2</v>
      </c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3">
        <f t="shared" si="1"/>
        <v>0</v>
      </c>
    </row>
    <row r="11" spans="1:29" s="24" customFormat="1" ht="24.95" customHeight="1" x14ac:dyDescent="0.3">
      <c r="A11" s="19" t="s">
        <v>135</v>
      </c>
      <c r="B11" s="19" t="s">
        <v>136</v>
      </c>
      <c r="C11" s="19" t="s">
        <v>137</v>
      </c>
      <c r="D11" s="20" t="s">
        <v>840</v>
      </c>
      <c r="E11" s="20" t="s">
        <v>841</v>
      </c>
      <c r="F11" s="21">
        <v>46126</v>
      </c>
      <c r="G11" s="21">
        <f t="shared" si="0"/>
        <v>46128</v>
      </c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>
        <f t="shared" si="1"/>
        <v>0</v>
      </c>
    </row>
    <row r="12" spans="1:29" s="24" customFormat="1" ht="24.95" customHeight="1" x14ac:dyDescent="0.3">
      <c r="A12" s="19" t="s">
        <v>141</v>
      </c>
      <c r="B12" s="19" t="s">
        <v>142</v>
      </c>
      <c r="C12" s="19" t="s">
        <v>143</v>
      </c>
      <c r="D12" s="20"/>
      <c r="E12" s="20"/>
      <c r="F12" s="21"/>
      <c r="G12" s="21">
        <f t="shared" si="0"/>
        <v>2</v>
      </c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3">
        <f t="shared" si="1"/>
        <v>0</v>
      </c>
    </row>
    <row r="13" spans="1:29" s="24" customFormat="1" ht="24.95" customHeight="1" x14ac:dyDescent="0.3">
      <c r="A13" s="19" t="s">
        <v>147</v>
      </c>
      <c r="B13" s="19" t="s">
        <v>593</v>
      </c>
      <c r="C13" s="19" t="s">
        <v>842</v>
      </c>
      <c r="D13" s="20"/>
      <c r="E13" s="20"/>
      <c r="F13" s="21"/>
      <c r="G13" s="21">
        <f t="shared" si="0"/>
        <v>2</v>
      </c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3">
        <f t="shared" si="1"/>
        <v>0</v>
      </c>
    </row>
    <row r="14" spans="1:29" s="24" customFormat="1" ht="24.95" customHeight="1" x14ac:dyDescent="0.3">
      <c r="A14" s="19" t="s">
        <v>159</v>
      </c>
      <c r="B14" s="19" t="s">
        <v>76</v>
      </c>
      <c r="C14" s="19" t="s">
        <v>160</v>
      </c>
      <c r="D14" s="20"/>
      <c r="E14" s="20"/>
      <c r="F14" s="21"/>
      <c r="G14" s="21">
        <f t="shared" si="0"/>
        <v>2</v>
      </c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3">
        <f t="shared" si="1"/>
        <v>0</v>
      </c>
    </row>
    <row r="15" spans="1:29" s="24" customFormat="1" ht="24.95" customHeight="1" x14ac:dyDescent="0.3">
      <c r="A15" s="19" t="s">
        <v>175</v>
      </c>
      <c r="B15" s="19" t="s">
        <v>176</v>
      </c>
      <c r="C15" s="19" t="s">
        <v>177</v>
      </c>
      <c r="D15" s="20"/>
      <c r="E15" s="20"/>
      <c r="F15" s="21"/>
      <c r="G15" s="21">
        <f t="shared" si="0"/>
        <v>2</v>
      </c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3">
        <f t="shared" si="1"/>
        <v>0</v>
      </c>
    </row>
    <row r="16" spans="1:29" s="24" customFormat="1" ht="24.95" customHeight="1" x14ac:dyDescent="0.3">
      <c r="A16" s="19" t="s">
        <v>182</v>
      </c>
      <c r="B16" s="19" t="s">
        <v>176</v>
      </c>
      <c r="C16" s="19" t="s">
        <v>183</v>
      </c>
      <c r="D16" s="20"/>
      <c r="E16" s="20"/>
      <c r="F16" s="21"/>
      <c r="G16" s="21">
        <f t="shared" si="0"/>
        <v>2</v>
      </c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3">
        <f t="shared" si="1"/>
        <v>0</v>
      </c>
    </row>
    <row r="17" spans="1:29" s="24" customFormat="1" ht="24.95" customHeight="1" x14ac:dyDescent="0.3">
      <c r="A17" s="19" t="s">
        <v>187</v>
      </c>
      <c r="B17" s="19" t="s">
        <v>176</v>
      </c>
      <c r="C17" s="19" t="s">
        <v>188</v>
      </c>
      <c r="D17" s="20"/>
      <c r="E17" s="20"/>
      <c r="F17" s="21"/>
      <c r="G17" s="21">
        <f t="shared" si="0"/>
        <v>2</v>
      </c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3">
        <f t="shared" si="1"/>
        <v>0</v>
      </c>
    </row>
    <row r="18" spans="1:29" s="24" customFormat="1" ht="24.95" customHeight="1" x14ac:dyDescent="0.3">
      <c r="A18" s="19" t="s">
        <v>192</v>
      </c>
      <c r="B18" s="19" t="s">
        <v>193</v>
      </c>
      <c r="C18" s="19" t="s">
        <v>194</v>
      </c>
      <c r="D18" s="20"/>
      <c r="E18" s="20"/>
      <c r="F18" s="21"/>
      <c r="G18" s="21">
        <f t="shared" si="0"/>
        <v>2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3">
        <f t="shared" si="1"/>
        <v>0</v>
      </c>
    </row>
    <row r="19" spans="1:29" s="24" customFormat="1" ht="24.95" customHeight="1" x14ac:dyDescent="0.3">
      <c r="A19" s="19" t="s">
        <v>198</v>
      </c>
      <c r="B19" s="19" t="s">
        <v>199</v>
      </c>
      <c r="C19" s="19" t="s">
        <v>200</v>
      </c>
      <c r="D19" s="20"/>
      <c r="E19" s="20"/>
      <c r="F19" s="21"/>
      <c r="G19" s="21">
        <f t="shared" si="0"/>
        <v>2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3">
        <f t="shared" si="1"/>
        <v>0</v>
      </c>
    </row>
    <row r="20" spans="1:29" s="24" customFormat="1" ht="24.95" customHeight="1" x14ac:dyDescent="0.3">
      <c r="A20" s="25" t="s">
        <v>613</v>
      </c>
      <c r="B20" s="25" t="s">
        <v>614</v>
      </c>
      <c r="C20" s="25" t="s">
        <v>615</v>
      </c>
      <c r="D20" s="26" t="s">
        <v>843</v>
      </c>
      <c r="E20" s="26" t="s">
        <v>844</v>
      </c>
      <c r="F20" s="27">
        <v>46120</v>
      </c>
      <c r="G20" s="27">
        <f t="shared" si="0"/>
        <v>46122</v>
      </c>
      <c r="H20" s="22">
        <v>1556</v>
      </c>
      <c r="I20" s="22">
        <v>2003</v>
      </c>
      <c r="J20" s="22">
        <v>62</v>
      </c>
      <c r="K20" s="22">
        <v>457</v>
      </c>
      <c r="L20" s="22">
        <v>84</v>
      </c>
      <c r="M20" s="22">
        <v>7</v>
      </c>
      <c r="N20" s="22">
        <v>20</v>
      </c>
      <c r="O20" s="22">
        <v>4</v>
      </c>
      <c r="P20" s="22">
        <v>0</v>
      </c>
      <c r="Q20" s="22">
        <v>5</v>
      </c>
      <c r="R20" s="22">
        <v>6</v>
      </c>
      <c r="S20" s="22">
        <v>4</v>
      </c>
      <c r="T20" s="22">
        <v>27</v>
      </c>
      <c r="U20" s="22">
        <v>2</v>
      </c>
      <c r="V20" s="22">
        <v>0</v>
      </c>
      <c r="W20" s="22">
        <v>1</v>
      </c>
      <c r="X20" s="22">
        <v>1</v>
      </c>
      <c r="Y20" s="22">
        <v>0</v>
      </c>
      <c r="Z20" s="22">
        <v>2</v>
      </c>
      <c r="AA20" s="22">
        <v>2</v>
      </c>
      <c r="AB20" s="22">
        <v>2</v>
      </c>
      <c r="AC20" s="23">
        <f t="shared" si="1"/>
        <v>4245</v>
      </c>
    </row>
    <row r="21" spans="1:29" s="24" customFormat="1" ht="24.95" customHeight="1" x14ac:dyDescent="0.3">
      <c r="A21" s="19" t="s">
        <v>619</v>
      </c>
      <c r="B21" s="19" t="s">
        <v>210</v>
      </c>
      <c r="C21" s="19" t="s">
        <v>620</v>
      </c>
      <c r="D21" s="20"/>
      <c r="E21" s="20"/>
      <c r="F21" s="21"/>
      <c r="G21" s="21">
        <f>F21+2</f>
        <v>2</v>
      </c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3">
        <f t="shared" si="1"/>
        <v>0</v>
      </c>
    </row>
    <row r="22" spans="1:29" s="24" customFormat="1" ht="24.95" customHeight="1" x14ac:dyDescent="0.3">
      <c r="A22" s="19" t="s">
        <v>624</v>
      </c>
      <c r="B22" s="19" t="s">
        <v>625</v>
      </c>
      <c r="C22" s="19" t="s">
        <v>626</v>
      </c>
      <c r="D22" s="20"/>
      <c r="E22" s="20"/>
      <c r="F22" s="21"/>
      <c r="G22" s="21">
        <f t="shared" si="0"/>
        <v>2</v>
      </c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3">
        <f t="shared" si="1"/>
        <v>0</v>
      </c>
    </row>
    <row r="23" spans="1:29" s="24" customFormat="1" ht="24.95" customHeight="1" x14ac:dyDescent="0.3">
      <c r="A23" s="19" t="s">
        <v>630</v>
      </c>
      <c r="B23" s="19" t="s">
        <v>417</v>
      </c>
      <c r="C23" s="19" t="s">
        <v>631</v>
      </c>
      <c r="D23" s="20"/>
      <c r="E23" s="20"/>
      <c r="F23" s="21"/>
      <c r="G23" s="21">
        <f t="shared" si="0"/>
        <v>2</v>
      </c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3">
        <f t="shared" si="1"/>
        <v>0</v>
      </c>
    </row>
    <row r="24" spans="1:29" s="24" customFormat="1" ht="24.95" customHeight="1" x14ac:dyDescent="0.3">
      <c r="A24" s="19" t="s">
        <v>635</v>
      </c>
      <c r="B24" s="19" t="s">
        <v>636</v>
      </c>
      <c r="C24" s="19" t="s">
        <v>637</v>
      </c>
      <c r="D24" s="20"/>
      <c r="E24" s="20"/>
      <c r="F24" s="21"/>
      <c r="G24" s="21">
        <f t="shared" si="0"/>
        <v>2</v>
      </c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3">
        <f t="shared" si="1"/>
        <v>0</v>
      </c>
    </row>
    <row r="25" spans="1:29" s="24" customFormat="1" ht="24.95" customHeight="1" x14ac:dyDescent="0.3">
      <c r="A25" s="19" t="s">
        <v>641</v>
      </c>
      <c r="B25" s="19" t="s">
        <v>237</v>
      </c>
      <c r="C25" s="19" t="s">
        <v>642</v>
      </c>
      <c r="D25" s="20"/>
      <c r="E25" s="20"/>
      <c r="F25" s="21"/>
      <c r="G25" s="21">
        <f t="shared" si="0"/>
        <v>2</v>
      </c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3">
        <f t="shared" si="1"/>
        <v>0</v>
      </c>
    </row>
    <row r="26" spans="1:29" s="24" customFormat="1" ht="24.95" customHeight="1" x14ac:dyDescent="0.3">
      <c r="A26" s="19" t="s">
        <v>646</v>
      </c>
      <c r="B26" s="19" t="s">
        <v>480</v>
      </c>
      <c r="C26" s="19" t="s">
        <v>647</v>
      </c>
      <c r="D26" s="20"/>
      <c r="E26" s="20"/>
      <c r="F26" s="21"/>
      <c r="G26" s="21">
        <f t="shared" si="0"/>
        <v>2</v>
      </c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3">
        <f t="shared" si="1"/>
        <v>0</v>
      </c>
    </row>
    <row r="27" spans="1:29" s="24" customFormat="1" ht="24.95" customHeight="1" x14ac:dyDescent="0.3">
      <c r="A27" s="19" t="s">
        <v>651</v>
      </c>
      <c r="B27" s="19" t="s">
        <v>512</v>
      </c>
      <c r="C27" s="19" t="s">
        <v>652</v>
      </c>
      <c r="D27" s="20"/>
      <c r="E27" s="20"/>
      <c r="F27" s="21"/>
      <c r="G27" s="21">
        <f t="shared" si="0"/>
        <v>2</v>
      </c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3">
        <f t="shared" si="1"/>
        <v>0</v>
      </c>
    </row>
    <row r="28" spans="1:29" s="24" customFormat="1" ht="24.95" customHeight="1" x14ac:dyDescent="0.3">
      <c r="A28" s="19" t="s">
        <v>204</v>
      </c>
      <c r="B28" s="19" t="s">
        <v>76</v>
      </c>
      <c r="C28" s="19" t="s">
        <v>205</v>
      </c>
      <c r="D28" s="20"/>
      <c r="E28" s="20"/>
      <c r="F28" s="21"/>
      <c r="G28" s="21">
        <f t="shared" si="0"/>
        <v>2</v>
      </c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3">
        <f t="shared" si="1"/>
        <v>0</v>
      </c>
    </row>
    <row r="29" spans="1:29" ht="24.95" customHeight="1" x14ac:dyDescent="0.25">
      <c r="A29" s="19" t="s">
        <v>656</v>
      </c>
      <c r="B29" s="19" t="s">
        <v>76</v>
      </c>
      <c r="C29" s="19" t="s">
        <v>657</v>
      </c>
      <c r="D29" s="20"/>
      <c r="E29" s="20"/>
      <c r="F29" s="21"/>
      <c r="G29" s="21">
        <f t="shared" si="0"/>
        <v>2</v>
      </c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3">
        <f t="shared" si="1"/>
        <v>0</v>
      </c>
    </row>
    <row r="30" spans="1:29" ht="24.95" customHeight="1" x14ac:dyDescent="0.25">
      <c r="A30" s="19" t="s">
        <v>661</v>
      </c>
      <c r="B30" s="19" t="s">
        <v>104</v>
      </c>
      <c r="C30" s="19" t="s">
        <v>662</v>
      </c>
      <c r="D30" s="20"/>
      <c r="E30" s="20"/>
      <c r="F30" s="21"/>
      <c r="G30" s="21">
        <f t="shared" si="0"/>
        <v>2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3">
        <f t="shared" si="1"/>
        <v>0</v>
      </c>
    </row>
    <row r="31" spans="1:29" ht="24.95" customHeight="1" x14ac:dyDescent="0.25">
      <c r="A31" s="25" t="s">
        <v>666</v>
      </c>
      <c r="B31" s="25" t="s">
        <v>36</v>
      </c>
      <c r="C31" s="25" t="s">
        <v>667</v>
      </c>
      <c r="D31" s="28" t="s">
        <v>845</v>
      </c>
      <c r="E31" s="28" t="s">
        <v>846</v>
      </c>
      <c r="F31" s="27">
        <v>46104</v>
      </c>
      <c r="G31" s="27">
        <f>F31+2</f>
        <v>46106</v>
      </c>
      <c r="H31" s="22">
        <v>582</v>
      </c>
      <c r="I31" s="22">
        <v>852</v>
      </c>
      <c r="J31" s="22">
        <v>19</v>
      </c>
      <c r="K31" s="22">
        <v>87</v>
      </c>
      <c r="L31" s="22">
        <v>6</v>
      </c>
      <c r="M31" s="22">
        <v>6</v>
      </c>
      <c r="N31" s="22">
        <v>14</v>
      </c>
      <c r="O31" s="22">
        <v>0</v>
      </c>
      <c r="P31" s="22">
        <v>0</v>
      </c>
      <c r="Q31" s="22">
        <v>0</v>
      </c>
      <c r="R31" s="22">
        <v>0</v>
      </c>
      <c r="S31" s="22">
        <v>1</v>
      </c>
      <c r="T31" s="22">
        <v>17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3">
        <f t="shared" si="1"/>
        <v>1584</v>
      </c>
    </row>
    <row r="32" spans="1:29" ht="24.95" customHeight="1" x14ac:dyDescent="0.25">
      <c r="A32" s="19" t="s">
        <v>670</v>
      </c>
      <c r="B32" s="19" t="s">
        <v>176</v>
      </c>
      <c r="C32" s="19" t="s">
        <v>671</v>
      </c>
      <c r="D32" s="20"/>
      <c r="E32" s="20"/>
      <c r="F32" s="21"/>
      <c r="G32" s="21">
        <f t="shared" si="0"/>
        <v>2</v>
      </c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3">
        <f t="shared" si="1"/>
        <v>0</v>
      </c>
    </row>
    <row r="33" spans="1:29" ht="24.95" customHeight="1" x14ac:dyDescent="0.25">
      <c r="A33" s="19" t="s">
        <v>675</v>
      </c>
      <c r="B33" s="19" t="s">
        <v>176</v>
      </c>
      <c r="C33" s="19" t="s">
        <v>676</v>
      </c>
      <c r="D33" s="20"/>
      <c r="E33" s="20"/>
      <c r="F33" s="21"/>
      <c r="G33" s="21">
        <f t="shared" si="0"/>
        <v>2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3">
        <f t="shared" si="1"/>
        <v>0</v>
      </c>
    </row>
    <row r="34" spans="1:29" ht="24.95" customHeight="1" x14ac:dyDescent="0.25">
      <c r="A34" s="19" t="s">
        <v>680</v>
      </c>
      <c r="B34" s="19" t="s">
        <v>25</v>
      </c>
      <c r="C34" s="19" t="s">
        <v>681</v>
      </c>
      <c r="D34" s="20"/>
      <c r="E34" s="20"/>
      <c r="F34" s="21"/>
      <c r="G34" s="21">
        <f t="shared" si="0"/>
        <v>2</v>
      </c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3">
        <f t="shared" si="1"/>
        <v>0</v>
      </c>
    </row>
    <row r="35" spans="1:29" ht="24.95" customHeight="1" x14ac:dyDescent="0.25">
      <c r="A35" s="19" t="s">
        <v>684</v>
      </c>
      <c r="B35" s="19" t="s">
        <v>193</v>
      </c>
      <c r="C35" s="19" t="s">
        <v>685</v>
      </c>
      <c r="D35" s="20"/>
      <c r="E35" s="20"/>
      <c r="F35" s="21"/>
      <c r="G35" s="21">
        <f t="shared" si="0"/>
        <v>2</v>
      </c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3">
        <f t="shared" si="1"/>
        <v>0</v>
      </c>
    </row>
    <row r="36" spans="1:29" ht="24.95" customHeight="1" x14ac:dyDescent="0.25">
      <c r="A36" s="19" t="s">
        <v>689</v>
      </c>
      <c r="B36" s="19" t="s">
        <v>193</v>
      </c>
      <c r="C36" s="19" t="s">
        <v>690</v>
      </c>
      <c r="D36" s="20"/>
      <c r="E36" s="20"/>
      <c r="F36" s="21"/>
      <c r="G36" s="21">
        <f t="shared" si="0"/>
        <v>2</v>
      </c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3">
        <f t="shared" si="1"/>
        <v>0</v>
      </c>
    </row>
    <row r="37" spans="1:29" ht="24.95" customHeight="1" x14ac:dyDescent="0.25">
      <c r="A37" s="19" t="s">
        <v>694</v>
      </c>
      <c r="B37" s="19" t="s">
        <v>695</v>
      </c>
      <c r="C37" s="19" t="s">
        <v>696</v>
      </c>
      <c r="D37" s="20"/>
      <c r="E37" s="20"/>
      <c r="F37" s="21"/>
      <c r="G37" s="21">
        <f t="shared" si="0"/>
        <v>2</v>
      </c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3">
        <f t="shared" si="1"/>
        <v>0</v>
      </c>
    </row>
    <row r="38" spans="1:29" ht="24.95" customHeight="1" x14ac:dyDescent="0.25">
      <c r="A38" s="19" t="s">
        <v>700</v>
      </c>
      <c r="B38" s="19" t="s">
        <v>695</v>
      </c>
      <c r="C38" s="19" t="s">
        <v>701</v>
      </c>
      <c r="D38" s="20"/>
      <c r="E38" s="20"/>
      <c r="F38" s="21"/>
      <c r="G38" s="21">
        <f t="shared" si="0"/>
        <v>2</v>
      </c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3">
        <f t="shared" si="1"/>
        <v>0</v>
      </c>
    </row>
    <row r="39" spans="1:29" ht="24.95" customHeight="1" x14ac:dyDescent="0.25">
      <c r="A39" s="19" t="s">
        <v>705</v>
      </c>
      <c r="B39" s="19" t="s">
        <v>706</v>
      </c>
      <c r="C39" s="19" t="s">
        <v>707</v>
      </c>
      <c r="D39" s="20"/>
      <c r="E39" s="20"/>
      <c r="F39" s="21"/>
      <c r="G39" s="21">
        <f t="shared" si="0"/>
        <v>2</v>
      </c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3">
        <f t="shared" si="1"/>
        <v>0</v>
      </c>
    </row>
    <row r="40" spans="1:29" ht="24.95" customHeight="1" x14ac:dyDescent="0.25">
      <c r="A40" s="19" t="s">
        <v>711</v>
      </c>
      <c r="B40" s="19" t="s">
        <v>712</v>
      </c>
      <c r="C40" s="19" t="s">
        <v>713</v>
      </c>
      <c r="D40" s="20"/>
      <c r="E40" s="20"/>
      <c r="F40" s="21"/>
      <c r="G40" s="21">
        <f t="shared" si="0"/>
        <v>2</v>
      </c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3">
        <f t="shared" si="1"/>
        <v>0</v>
      </c>
    </row>
    <row r="41" spans="1:29" ht="24.95" customHeight="1" x14ac:dyDescent="0.25">
      <c r="A41" s="19" t="s">
        <v>715</v>
      </c>
      <c r="B41" s="19" t="s">
        <v>716</v>
      </c>
      <c r="C41" s="19" t="s">
        <v>717</v>
      </c>
      <c r="D41" s="20"/>
      <c r="E41" s="20"/>
      <c r="F41" s="21"/>
      <c r="G41" s="21">
        <f t="shared" si="0"/>
        <v>2</v>
      </c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3">
        <f t="shared" si="1"/>
        <v>0</v>
      </c>
    </row>
    <row r="42" spans="1:29" ht="24.95" customHeight="1" x14ac:dyDescent="0.25">
      <c r="A42" s="19" t="s">
        <v>721</v>
      </c>
      <c r="B42" s="19" t="s">
        <v>199</v>
      </c>
      <c r="C42" s="19" t="s">
        <v>722</v>
      </c>
      <c r="D42" s="20"/>
      <c r="E42" s="20"/>
      <c r="F42" s="21"/>
      <c r="G42" s="21">
        <f t="shared" si="0"/>
        <v>2</v>
      </c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3">
        <f t="shared" si="1"/>
        <v>0</v>
      </c>
    </row>
    <row r="43" spans="1:29" ht="24.95" customHeight="1" x14ac:dyDescent="0.25">
      <c r="A43" s="19" t="s">
        <v>726</v>
      </c>
      <c r="B43" s="19" t="s">
        <v>176</v>
      </c>
      <c r="C43" s="19" t="s">
        <v>727</v>
      </c>
      <c r="D43" s="20"/>
      <c r="E43" s="20"/>
      <c r="F43" s="21"/>
      <c r="G43" s="21">
        <f t="shared" si="0"/>
        <v>2</v>
      </c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3">
        <f t="shared" si="1"/>
        <v>0</v>
      </c>
    </row>
    <row r="44" spans="1:29" ht="24.95" customHeight="1" x14ac:dyDescent="0.25">
      <c r="A44" s="19" t="s">
        <v>731</v>
      </c>
      <c r="B44" s="19" t="s">
        <v>268</v>
      </c>
      <c r="C44" s="19" t="s">
        <v>732</v>
      </c>
      <c r="D44" s="20"/>
      <c r="E44" s="20"/>
      <c r="F44" s="21"/>
      <c r="G44" s="21">
        <f t="shared" si="0"/>
        <v>2</v>
      </c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3">
        <f t="shared" si="1"/>
        <v>0</v>
      </c>
    </row>
    <row r="45" spans="1:29" ht="24.95" customHeight="1" x14ac:dyDescent="0.25">
      <c r="A45" s="19" t="s">
        <v>736</v>
      </c>
      <c r="B45" s="19" t="s">
        <v>48</v>
      </c>
      <c r="C45" s="19" t="s">
        <v>737</v>
      </c>
      <c r="D45" s="20"/>
      <c r="E45" s="20"/>
      <c r="F45" s="21"/>
      <c r="G45" s="21">
        <f t="shared" si="0"/>
        <v>2</v>
      </c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3">
        <f t="shared" si="1"/>
        <v>0</v>
      </c>
    </row>
    <row r="46" spans="1:29" ht="24.95" customHeight="1" x14ac:dyDescent="0.25">
      <c r="A46" s="19" t="s">
        <v>740</v>
      </c>
      <c r="B46" s="19" t="s">
        <v>243</v>
      </c>
      <c r="C46" s="19" t="s">
        <v>741</v>
      </c>
      <c r="D46" s="20"/>
      <c r="E46" s="20"/>
      <c r="F46" s="21"/>
      <c r="G46" s="21">
        <f t="shared" si="0"/>
        <v>2</v>
      </c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3">
        <f t="shared" si="1"/>
        <v>0</v>
      </c>
    </row>
    <row r="47" spans="1:29" ht="24.95" customHeight="1" x14ac:dyDescent="0.25">
      <c r="A47" s="19" t="s">
        <v>745</v>
      </c>
      <c r="B47" s="19" t="s">
        <v>136</v>
      </c>
      <c r="C47" s="19" t="s">
        <v>746</v>
      </c>
      <c r="D47" s="20" t="s">
        <v>847</v>
      </c>
      <c r="E47" s="20" t="s">
        <v>848</v>
      </c>
      <c r="F47" s="21">
        <v>46126</v>
      </c>
      <c r="G47" s="21">
        <f t="shared" si="0"/>
        <v>46128</v>
      </c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3">
        <f t="shared" si="1"/>
        <v>0</v>
      </c>
    </row>
    <row r="48" spans="1:29" ht="24.95" customHeight="1" x14ac:dyDescent="0.25">
      <c r="A48" s="19" t="s">
        <v>750</v>
      </c>
      <c r="B48" s="19" t="s">
        <v>176</v>
      </c>
      <c r="C48" s="19" t="s">
        <v>751</v>
      </c>
      <c r="D48" s="20"/>
      <c r="E48" s="20"/>
      <c r="F48" s="21"/>
      <c r="G48" s="21">
        <f t="shared" si="0"/>
        <v>2</v>
      </c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3">
        <f t="shared" si="1"/>
        <v>0</v>
      </c>
    </row>
    <row r="49" spans="1:29" ht="24.95" customHeight="1" x14ac:dyDescent="0.25">
      <c r="A49" s="19" t="s">
        <v>755</v>
      </c>
      <c r="B49" s="19" t="s">
        <v>566</v>
      </c>
      <c r="C49" s="19" t="s">
        <v>756</v>
      </c>
      <c r="D49" s="20"/>
      <c r="E49" s="20"/>
      <c r="F49" s="21"/>
      <c r="G49" s="21">
        <f t="shared" si="0"/>
        <v>2</v>
      </c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3">
        <f t="shared" si="1"/>
        <v>0</v>
      </c>
    </row>
    <row r="50" spans="1:29" ht="24.95" customHeight="1" x14ac:dyDescent="0.25">
      <c r="A50" s="25" t="s">
        <v>760</v>
      </c>
      <c r="B50" s="25" t="s">
        <v>48</v>
      </c>
      <c r="C50" s="25" t="s">
        <v>761</v>
      </c>
      <c r="D50" s="26" t="s">
        <v>849</v>
      </c>
      <c r="E50" s="26" t="s">
        <v>850</v>
      </c>
      <c r="F50" s="27">
        <v>46119</v>
      </c>
      <c r="G50" s="27">
        <f t="shared" si="0"/>
        <v>46121</v>
      </c>
      <c r="H50" s="22">
        <v>619</v>
      </c>
      <c r="I50" s="22">
        <v>1492</v>
      </c>
      <c r="J50" s="22">
        <v>37</v>
      </c>
      <c r="K50" s="22">
        <v>184</v>
      </c>
      <c r="L50" s="22">
        <v>56</v>
      </c>
      <c r="M50" s="22">
        <v>3</v>
      </c>
      <c r="N50" s="22">
        <v>24</v>
      </c>
      <c r="O50" s="22">
        <v>8</v>
      </c>
      <c r="P50" s="22">
        <v>0</v>
      </c>
      <c r="Q50" s="22">
        <v>7</v>
      </c>
      <c r="R50" s="22">
        <v>15</v>
      </c>
      <c r="S50" s="22">
        <v>1</v>
      </c>
      <c r="T50" s="22">
        <v>31</v>
      </c>
      <c r="U50" s="22">
        <v>0</v>
      </c>
      <c r="V50" s="22">
        <v>0</v>
      </c>
      <c r="W50" s="22">
        <v>1</v>
      </c>
      <c r="X50" s="22">
        <v>1</v>
      </c>
      <c r="Y50" s="22">
        <v>0</v>
      </c>
      <c r="Z50" s="22">
        <v>1</v>
      </c>
      <c r="AA50" s="22">
        <v>1</v>
      </c>
      <c r="AB50" s="22">
        <v>2</v>
      </c>
      <c r="AC50" s="23">
        <f t="shared" si="1"/>
        <v>2483</v>
      </c>
    </row>
    <row r="51" spans="1:29" ht="24.95" customHeight="1" x14ac:dyDescent="0.25">
      <c r="A51" s="25" t="s">
        <v>764</v>
      </c>
      <c r="B51" s="25" t="s">
        <v>58</v>
      </c>
      <c r="C51" s="25" t="s">
        <v>765</v>
      </c>
      <c r="D51" s="26" t="s">
        <v>851</v>
      </c>
      <c r="E51" s="26" t="s">
        <v>852</v>
      </c>
      <c r="F51" s="27">
        <v>46119</v>
      </c>
      <c r="G51" s="27">
        <f t="shared" si="0"/>
        <v>46121</v>
      </c>
      <c r="H51" s="22">
        <v>1556</v>
      </c>
      <c r="I51" s="22">
        <v>2206</v>
      </c>
      <c r="J51" s="22">
        <v>29</v>
      </c>
      <c r="K51" s="22">
        <v>294</v>
      </c>
      <c r="L51" s="22">
        <v>63</v>
      </c>
      <c r="M51" s="22">
        <v>11</v>
      </c>
      <c r="N51" s="22">
        <v>31</v>
      </c>
      <c r="O51" s="22">
        <v>2</v>
      </c>
      <c r="P51" s="22">
        <v>0</v>
      </c>
      <c r="Q51" s="22">
        <v>4</v>
      </c>
      <c r="R51" s="22">
        <v>0</v>
      </c>
      <c r="S51" s="22">
        <v>2</v>
      </c>
      <c r="T51" s="22">
        <v>46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9</v>
      </c>
      <c r="AA51" s="22">
        <v>3</v>
      </c>
      <c r="AB51" s="22">
        <v>7</v>
      </c>
      <c r="AC51" s="23">
        <f t="shared" si="1"/>
        <v>4263</v>
      </c>
    </row>
    <row r="52" spans="1:29" ht="24.95" customHeight="1" x14ac:dyDescent="0.25">
      <c r="A52" s="19" t="s">
        <v>769</v>
      </c>
      <c r="B52" s="19" t="s">
        <v>614</v>
      </c>
      <c r="C52" s="19" t="s">
        <v>770</v>
      </c>
      <c r="D52" s="20"/>
      <c r="E52" s="20"/>
      <c r="F52" s="21"/>
      <c r="G52" s="21">
        <f t="shared" si="0"/>
        <v>2</v>
      </c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3">
        <f t="shared" si="1"/>
        <v>0</v>
      </c>
    </row>
    <row r="53" spans="1:29" ht="24.95" customHeight="1" x14ac:dyDescent="0.25">
      <c r="A53" s="19" t="s">
        <v>773</v>
      </c>
      <c r="B53" s="19" t="s">
        <v>210</v>
      </c>
      <c r="C53" s="19" t="s">
        <v>774</v>
      </c>
      <c r="D53" s="20"/>
      <c r="E53" s="20"/>
      <c r="F53" s="21"/>
      <c r="G53" s="21">
        <f t="shared" si="0"/>
        <v>2</v>
      </c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3">
        <f t="shared" si="1"/>
        <v>0</v>
      </c>
    </row>
    <row r="54" spans="1:29" ht="24.95" customHeight="1" x14ac:dyDescent="0.25">
      <c r="A54" s="19" t="s">
        <v>778</v>
      </c>
      <c r="B54" s="19" t="s">
        <v>625</v>
      </c>
      <c r="C54" s="19" t="s">
        <v>779</v>
      </c>
      <c r="D54" s="20"/>
      <c r="E54" s="20"/>
      <c r="F54" s="21"/>
      <c r="G54" s="21">
        <f t="shared" si="0"/>
        <v>2</v>
      </c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3">
        <f t="shared" si="1"/>
        <v>0</v>
      </c>
    </row>
    <row r="55" spans="1:29" ht="24.95" customHeight="1" x14ac:dyDescent="0.25">
      <c r="A55" s="19" t="s">
        <v>783</v>
      </c>
      <c r="B55" s="19" t="s">
        <v>625</v>
      </c>
      <c r="C55" s="19" t="s">
        <v>784</v>
      </c>
      <c r="D55" s="20" t="s">
        <v>853</v>
      </c>
      <c r="E55" s="20" t="s">
        <v>854</v>
      </c>
      <c r="F55" s="21">
        <v>46126</v>
      </c>
      <c r="G55" s="21">
        <f t="shared" si="0"/>
        <v>46128</v>
      </c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3">
        <f t="shared" si="1"/>
        <v>0</v>
      </c>
    </row>
    <row r="56" spans="1:29" ht="24.95" customHeight="1" x14ac:dyDescent="0.25">
      <c r="A56" s="19" t="s">
        <v>788</v>
      </c>
      <c r="B56" s="19" t="s">
        <v>789</v>
      </c>
      <c r="C56" s="19" t="s">
        <v>790</v>
      </c>
      <c r="D56" s="20"/>
      <c r="E56" s="20"/>
      <c r="F56" s="21"/>
      <c r="G56" s="21">
        <f t="shared" si="0"/>
        <v>2</v>
      </c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3">
        <f t="shared" si="1"/>
        <v>0</v>
      </c>
    </row>
    <row r="57" spans="1:29" ht="24.95" customHeight="1" x14ac:dyDescent="0.25">
      <c r="A57" s="19" t="s">
        <v>794</v>
      </c>
      <c r="B57" s="19" t="s">
        <v>795</v>
      </c>
      <c r="C57" s="19" t="s">
        <v>796</v>
      </c>
      <c r="D57" s="20"/>
      <c r="E57" s="20"/>
      <c r="F57" s="21"/>
      <c r="G57" s="21">
        <f t="shared" si="0"/>
        <v>2</v>
      </c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3">
        <f t="shared" si="1"/>
        <v>0</v>
      </c>
    </row>
    <row r="58" spans="1:29" ht="24.95" customHeight="1" x14ac:dyDescent="0.25">
      <c r="A58" s="19" t="s">
        <v>800</v>
      </c>
      <c r="B58" s="19" t="s">
        <v>795</v>
      </c>
      <c r="C58" s="19" t="s">
        <v>801</v>
      </c>
      <c r="D58" s="20"/>
      <c r="E58" s="20"/>
      <c r="F58" s="21"/>
      <c r="G58" s="21">
        <f t="shared" si="0"/>
        <v>2</v>
      </c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3">
        <f t="shared" si="1"/>
        <v>0</v>
      </c>
    </row>
    <row r="59" spans="1:29" ht="24.95" customHeight="1" x14ac:dyDescent="0.25">
      <c r="A59" s="19" t="s">
        <v>805</v>
      </c>
      <c r="B59" s="19" t="s">
        <v>48</v>
      </c>
      <c r="C59" s="19" t="s">
        <v>806</v>
      </c>
      <c r="D59" s="20"/>
      <c r="E59" s="20"/>
      <c r="F59" s="21"/>
      <c r="G59" s="21">
        <f t="shared" si="0"/>
        <v>2</v>
      </c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3">
        <f t="shared" si="1"/>
        <v>0</v>
      </c>
    </row>
    <row r="60" spans="1:29" ht="24.95" customHeight="1" x14ac:dyDescent="0.25">
      <c r="A60" s="25" t="s">
        <v>317</v>
      </c>
      <c r="B60" s="25" t="s">
        <v>148</v>
      </c>
      <c r="C60" s="25" t="s">
        <v>318</v>
      </c>
      <c r="D60" s="28" t="s">
        <v>855</v>
      </c>
      <c r="E60" s="28" t="s">
        <v>856</v>
      </c>
      <c r="F60" s="27">
        <v>46104</v>
      </c>
      <c r="G60" s="27">
        <f t="shared" si="0"/>
        <v>46106</v>
      </c>
      <c r="H60" s="22">
        <v>1413</v>
      </c>
      <c r="I60" s="22">
        <v>1100</v>
      </c>
      <c r="J60" s="22">
        <v>0</v>
      </c>
      <c r="K60" s="22">
        <v>20</v>
      </c>
      <c r="L60" s="22">
        <v>3</v>
      </c>
      <c r="M60" s="22">
        <v>0</v>
      </c>
      <c r="N60" s="22">
        <v>4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27</v>
      </c>
      <c r="U60" s="22">
        <v>0</v>
      </c>
      <c r="V60" s="22">
        <v>0</v>
      </c>
      <c r="W60" s="22">
        <v>0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0"/>
      <c r="E61" s="20"/>
      <c r="F61" s="21"/>
      <c r="G61" s="21">
        <f t="shared" si="0"/>
        <v>2</v>
      </c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0"/>
      <c r="E62" s="20"/>
      <c r="F62" s="21"/>
      <c r="G62" s="21">
        <f t="shared" si="0"/>
        <v>2</v>
      </c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0"/>
      <c r="E63" s="20"/>
      <c r="F63" s="21"/>
      <c r="G63" s="21">
        <f t="shared" si="0"/>
        <v>2</v>
      </c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3">
        <f t="shared" si="1"/>
        <v>0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0"/>
      <c r="E64" s="20"/>
      <c r="F64" s="21"/>
      <c r="G64" s="21">
        <f t="shared" si="0"/>
        <v>2</v>
      </c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0"/>
      <c r="E65" s="20"/>
      <c r="F65" s="21"/>
      <c r="G65" s="21">
        <f t="shared" si="0"/>
        <v>2</v>
      </c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3">
        <f t="shared" si="1"/>
        <v>0</v>
      </c>
    </row>
    <row r="66" spans="1:29" ht="24.95" customHeight="1" x14ac:dyDescent="0.25">
      <c r="A66" s="25" t="s">
        <v>130</v>
      </c>
      <c r="B66" s="25" t="s">
        <v>12</v>
      </c>
      <c r="C66" s="25" t="s">
        <v>131</v>
      </c>
      <c r="D66" s="26" t="s">
        <v>857</v>
      </c>
      <c r="E66" s="26" t="s">
        <v>858</v>
      </c>
      <c r="F66" s="27">
        <v>46111</v>
      </c>
      <c r="G66" s="27">
        <f t="shared" si="0"/>
        <v>46113</v>
      </c>
      <c r="H66" s="22">
        <v>3057</v>
      </c>
      <c r="I66" s="22">
        <v>2082</v>
      </c>
      <c r="J66" s="22">
        <v>17</v>
      </c>
      <c r="K66" s="22">
        <v>166</v>
      </c>
      <c r="L66" s="22">
        <v>33</v>
      </c>
      <c r="M66" s="22">
        <v>20</v>
      </c>
      <c r="N66" s="22">
        <v>27</v>
      </c>
      <c r="O66" s="22">
        <v>0</v>
      </c>
      <c r="P66" s="22">
        <v>0</v>
      </c>
      <c r="Q66" s="22">
        <v>1</v>
      </c>
      <c r="R66" s="22">
        <v>0</v>
      </c>
      <c r="S66" s="22">
        <v>0</v>
      </c>
      <c r="T66" s="22">
        <v>86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1</v>
      </c>
      <c r="AA66" s="22">
        <v>0</v>
      </c>
      <c r="AB66" s="22">
        <v>2</v>
      </c>
      <c r="AC66" s="2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0"/>
      <c r="E67" s="20"/>
      <c r="F67" s="21"/>
      <c r="G67" s="21">
        <f t="shared" si="0"/>
        <v>2</v>
      </c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3">
        <f t="shared" si="1"/>
        <v>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0"/>
      <c r="E68" s="20"/>
      <c r="F68" s="21"/>
      <c r="G68" s="21">
        <f t="shared" si="0"/>
        <v>2</v>
      </c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0"/>
      <c r="E69" s="20"/>
      <c r="F69" s="21"/>
      <c r="G69" s="21">
        <f t="shared" si="0"/>
        <v>2</v>
      </c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0"/>
      <c r="E70" s="20"/>
      <c r="F70" s="21"/>
      <c r="G70" s="21">
        <f t="shared" ref="G70:G133" si="2">F70+2</f>
        <v>2</v>
      </c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3">
        <f t="shared" ref="AC70:AC133" si="3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0"/>
      <c r="E71" s="20"/>
      <c r="F71" s="21"/>
      <c r="G71" s="21">
        <f t="shared" si="2"/>
        <v>2</v>
      </c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3">
        <f t="shared" si="3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0"/>
      <c r="E72" s="20"/>
      <c r="F72" s="21"/>
      <c r="G72" s="21">
        <f t="shared" si="2"/>
        <v>2</v>
      </c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3">
        <f t="shared" si="3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0"/>
      <c r="E73" s="20"/>
      <c r="F73" s="21"/>
      <c r="G73" s="21">
        <f t="shared" si="2"/>
        <v>2</v>
      </c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3">
        <f t="shared" si="3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0"/>
      <c r="E74" s="20"/>
      <c r="F74" s="21"/>
      <c r="G74" s="21">
        <f t="shared" si="2"/>
        <v>2</v>
      </c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3">
        <f t="shared" si="3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0"/>
      <c r="E75" s="20"/>
      <c r="F75" s="21"/>
      <c r="G75" s="21">
        <f t="shared" si="2"/>
        <v>2</v>
      </c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3">
        <f t="shared" si="3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0"/>
      <c r="E76" s="20"/>
      <c r="F76" s="21"/>
      <c r="G76" s="21">
        <f t="shared" si="2"/>
        <v>2</v>
      </c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3">
        <f t="shared" si="3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0"/>
      <c r="E77" s="20"/>
      <c r="F77" s="21"/>
      <c r="G77" s="21">
        <f t="shared" si="2"/>
        <v>2</v>
      </c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3">
        <f t="shared" si="3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0"/>
      <c r="E78" s="20"/>
      <c r="F78" s="21"/>
      <c r="G78" s="21">
        <f t="shared" si="2"/>
        <v>2</v>
      </c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3">
        <f t="shared" si="3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0"/>
      <c r="E79" s="20"/>
      <c r="F79" s="21"/>
      <c r="G79" s="21">
        <f t="shared" si="2"/>
        <v>2</v>
      </c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3">
        <f t="shared" si="3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0"/>
      <c r="E80" s="20"/>
      <c r="F80" s="21"/>
      <c r="G80" s="21">
        <f t="shared" si="2"/>
        <v>2</v>
      </c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3">
        <f t="shared" si="3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0"/>
      <c r="E81" s="20"/>
      <c r="F81" s="21"/>
      <c r="G81" s="21">
        <f t="shared" si="2"/>
        <v>2</v>
      </c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3">
        <f t="shared" si="3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0"/>
      <c r="E82" s="20"/>
      <c r="F82" s="21"/>
      <c r="G82" s="21">
        <f t="shared" si="2"/>
        <v>2</v>
      </c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3">
        <f t="shared" si="3"/>
        <v>0</v>
      </c>
    </row>
    <row r="83" spans="1:29" ht="24.95" customHeight="1" x14ac:dyDescent="0.25">
      <c r="A83" s="25" t="s">
        <v>438</v>
      </c>
      <c r="B83" s="25" t="s">
        <v>231</v>
      </c>
      <c r="C83" s="25" t="s">
        <v>439</v>
      </c>
      <c r="D83" s="28" t="s">
        <v>859</v>
      </c>
      <c r="E83" s="28" t="s">
        <v>860</v>
      </c>
      <c r="F83" s="27">
        <v>46107</v>
      </c>
      <c r="G83" s="27">
        <f t="shared" si="2"/>
        <v>46109</v>
      </c>
      <c r="H83" s="22">
        <v>1013</v>
      </c>
      <c r="I83" s="22">
        <v>4214</v>
      </c>
      <c r="J83" s="22">
        <v>120</v>
      </c>
      <c r="K83" s="22">
        <v>455</v>
      </c>
      <c r="L83" s="22">
        <v>53</v>
      </c>
      <c r="M83" s="22">
        <v>12</v>
      </c>
      <c r="N83" s="22">
        <v>72</v>
      </c>
      <c r="O83" s="22">
        <v>1</v>
      </c>
      <c r="P83" s="22">
        <v>0</v>
      </c>
      <c r="Q83" s="22">
        <v>2</v>
      </c>
      <c r="R83" s="22">
        <v>1</v>
      </c>
      <c r="S83" s="22">
        <v>5</v>
      </c>
      <c r="T83" s="22">
        <v>80</v>
      </c>
      <c r="U83" s="22">
        <v>0</v>
      </c>
      <c r="V83" s="22">
        <v>2</v>
      </c>
      <c r="W83" s="22">
        <v>1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3">
        <f t="shared" si="3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0"/>
      <c r="E84" s="20"/>
      <c r="F84" s="21"/>
      <c r="G84" s="21">
        <f t="shared" si="2"/>
        <v>2</v>
      </c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3">
        <f t="shared" si="3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0"/>
      <c r="E85" s="20"/>
      <c r="F85" s="21"/>
      <c r="G85" s="21">
        <f t="shared" si="2"/>
        <v>2</v>
      </c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3">
        <f t="shared" si="3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0"/>
      <c r="E86" s="20"/>
      <c r="F86" s="21"/>
      <c r="G86" s="21">
        <f t="shared" si="2"/>
        <v>2</v>
      </c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3">
        <f t="shared" si="3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0"/>
      <c r="E87" s="20"/>
      <c r="F87" s="21"/>
      <c r="G87" s="21">
        <f t="shared" si="2"/>
        <v>2</v>
      </c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3">
        <f t="shared" si="3"/>
        <v>0</v>
      </c>
    </row>
    <row r="88" spans="1:29" ht="24.95" customHeight="1" x14ac:dyDescent="0.25">
      <c r="A88" s="25" t="s">
        <v>463</v>
      </c>
      <c r="B88" s="25" t="s">
        <v>237</v>
      </c>
      <c r="C88" s="25" t="s">
        <v>464</v>
      </c>
      <c r="D88" s="26" t="s">
        <v>861</v>
      </c>
      <c r="E88" s="26" t="s">
        <v>862</v>
      </c>
      <c r="F88" s="27">
        <v>46119</v>
      </c>
      <c r="G88" s="27">
        <f t="shared" si="2"/>
        <v>46121</v>
      </c>
      <c r="H88" s="22">
        <v>2391</v>
      </c>
      <c r="I88" s="22">
        <v>3304</v>
      </c>
      <c r="J88" s="22">
        <v>73</v>
      </c>
      <c r="K88" s="22">
        <v>546</v>
      </c>
      <c r="L88" s="22">
        <v>105</v>
      </c>
      <c r="M88" s="22">
        <v>21</v>
      </c>
      <c r="N88" s="22">
        <v>79</v>
      </c>
      <c r="O88" s="22">
        <v>8</v>
      </c>
      <c r="P88" s="22">
        <v>8</v>
      </c>
      <c r="Q88" s="22">
        <v>18</v>
      </c>
      <c r="R88" s="22">
        <v>16</v>
      </c>
      <c r="S88" s="22">
        <v>4</v>
      </c>
      <c r="T88" s="22">
        <v>99</v>
      </c>
      <c r="U88" s="22">
        <v>4</v>
      </c>
      <c r="V88" s="22">
        <v>1</v>
      </c>
      <c r="W88" s="22">
        <v>5</v>
      </c>
      <c r="X88" s="22">
        <v>2</v>
      </c>
      <c r="Y88" s="22">
        <v>0</v>
      </c>
      <c r="Z88" s="22">
        <v>7</v>
      </c>
      <c r="AA88" s="22">
        <v>5</v>
      </c>
      <c r="AB88" s="22">
        <v>1</v>
      </c>
      <c r="AC88" s="23">
        <f t="shared" si="3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0"/>
      <c r="E89" s="20"/>
      <c r="F89" s="21"/>
      <c r="G89" s="21">
        <f t="shared" si="2"/>
        <v>2</v>
      </c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3">
        <f t="shared" si="3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0"/>
      <c r="E90" s="20"/>
      <c r="F90" s="21"/>
      <c r="G90" s="21">
        <f t="shared" si="2"/>
        <v>2</v>
      </c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3">
        <f t="shared" si="3"/>
        <v>0</v>
      </c>
    </row>
    <row r="91" spans="1:29" ht="24.95" customHeight="1" x14ac:dyDescent="0.25">
      <c r="A91" s="19" t="s">
        <v>479</v>
      </c>
      <c r="B91" s="19" t="s">
        <v>480</v>
      </c>
      <c r="C91" s="19" t="s">
        <v>481</v>
      </c>
      <c r="D91" s="20"/>
      <c r="E91" s="20"/>
      <c r="F91" s="21"/>
      <c r="G91" s="21">
        <f t="shared" si="2"/>
        <v>2</v>
      </c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3">
        <f t="shared" si="3"/>
        <v>0</v>
      </c>
    </row>
    <row r="92" spans="1:29" ht="24.95" customHeight="1" x14ac:dyDescent="0.25">
      <c r="A92" s="19" t="s">
        <v>485</v>
      </c>
      <c r="B92" s="19" t="s">
        <v>480</v>
      </c>
      <c r="C92" s="19" t="s">
        <v>486</v>
      </c>
      <c r="D92" s="20"/>
      <c r="E92" s="20"/>
      <c r="F92" s="21"/>
      <c r="G92" s="21">
        <f t="shared" si="2"/>
        <v>2</v>
      </c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3">
        <f t="shared" si="3"/>
        <v>0</v>
      </c>
    </row>
    <row r="93" spans="1:29" ht="24.95" customHeight="1" x14ac:dyDescent="0.25">
      <c r="A93" s="19" t="s">
        <v>489</v>
      </c>
      <c r="B93" s="19" t="s">
        <v>490</v>
      </c>
      <c r="C93" s="19" t="s">
        <v>491</v>
      </c>
      <c r="D93" s="20"/>
      <c r="E93" s="20"/>
      <c r="F93" s="21"/>
      <c r="G93" s="21">
        <f t="shared" si="2"/>
        <v>2</v>
      </c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3">
        <f t="shared" si="3"/>
        <v>0</v>
      </c>
    </row>
    <row r="94" spans="1:29" ht="24.95" customHeight="1" x14ac:dyDescent="0.25">
      <c r="A94" s="25" t="s">
        <v>153</v>
      </c>
      <c r="B94" s="25" t="s">
        <v>863</v>
      </c>
      <c r="C94" s="25" t="s">
        <v>864</v>
      </c>
      <c r="D94" s="26" t="s">
        <v>865</v>
      </c>
      <c r="E94" s="26" t="s">
        <v>866</v>
      </c>
      <c r="F94" s="27">
        <v>46111</v>
      </c>
      <c r="G94" s="27">
        <f t="shared" si="2"/>
        <v>46113</v>
      </c>
      <c r="H94" s="22">
        <v>597</v>
      </c>
      <c r="I94" s="22">
        <v>1691</v>
      </c>
      <c r="J94" s="22">
        <v>51</v>
      </c>
      <c r="K94" s="22">
        <v>365</v>
      </c>
      <c r="L94" s="22">
        <v>109</v>
      </c>
      <c r="M94" s="22">
        <v>5</v>
      </c>
      <c r="N94" s="22">
        <v>13</v>
      </c>
      <c r="O94" s="22">
        <v>3</v>
      </c>
      <c r="P94" s="22">
        <v>0</v>
      </c>
      <c r="Q94" s="22">
        <v>4</v>
      </c>
      <c r="R94" s="22">
        <v>8</v>
      </c>
      <c r="S94" s="22">
        <v>0</v>
      </c>
      <c r="T94" s="22">
        <v>30</v>
      </c>
      <c r="U94" s="22">
        <v>2</v>
      </c>
      <c r="V94" s="22">
        <v>0</v>
      </c>
      <c r="W94" s="22">
        <v>0</v>
      </c>
      <c r="X94" s="22">
        <v>0</v>
      </c>
      <c r="Y94" s="22">
        <v>0</v>
      </c>
      <c r="Z94" s="22">
        <v>2</v>
      </c>
      <c r="AA94" s="22">
        <v>1</v>
      </c>
      <c r="AB94" s="22">
        <v>2</v>
      </c>
      <c r="AC94" s="23">
        <f t="shared" si="3"/>
        <v>2883</v>
      </c>
    </row>
    <row r="95" spans="1:29" ht="24.95" customHeight="1" x14ac:dyDescent="0.25">
      <c r="A95" s="19" t="s">
        <v>495</v>
      </c>
      <c r="B95" s="19" t="s">
        <v>496</v>
      </c>
      <c r="C95" s="19" t="s">
        <v>497</v>
      </c>
      <c r="D95" s="20"/>
      <c r="E95" s="20"/>
      <c r="F95" s="21"/>
      <c r="G95" s="21">
        <f t="shared" si="2"/>
        <v>2</v>
      </c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3">
        <f t="shared" si="3"/>
        <v>0</v>
      </c>
    </row>
    <row r="96" spans="1:29" ht="24.95" customHeight="1" x14ac:dyDescent="0.25">
      <c r="A96" s="19" t="s">
        <v>501</v>
      </c>
      <c r="B96" s="19" t="s">
        <v>496</v>
      </c>
      <c r="C96" s="19" t="s">
        <v>502</v>
      </c>
      <c r="D96" s="20"/>
      <c r="E96" s="20"/>
      <c r="F96" s="21"/>
      <c r="G96" s="21">
        <f t="shared" si="2"/>
        <v>2</v>
      </c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3">
        <f t="shared" si="3"/>
        <v>0</v>
      </c>
    </row>
    <row r="97" spans="1:29" ht="24.95" customHeight="1" x14ac:dyDescent="0.25">
      <c r="A97" s="19" t="s">
        <v>506</v>
      </c>
      <c r="B97" s="19" t="s">
        <v>136</v>
      </c>
      <c r="C97" s="19" t="s">
        <v>507</v>
      </c>
      <c r="D97" s="20"/>
      <c r="E97" s="20"/>
      <c r="F97" s="21"/>
      <c r="G97" s="21">
        <f t="shared" si="2"/>
        <v>2</v>
      </c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3">
        <f t="shared" si="3"/>
        <v>0</v>
      </c>
    </row>
    <row r="98" spans="1:29" ht="24.95" customHeight="1" x14ac:dyDescent="0.25">
      <c r="A98" s="19" t="s">
        <v>511</v>
      </c>
      <c r="B98" s="19" t="s">
        <v>512</v>
      </c>
      <c r="C98" s="19" t="s">
        <v>513</v>
      </c>
      <c r="D98" s="20"/>
      <c r="E98" s="20"/>
      <c r="F98" s="21"/>
      <c r="G98" s="21">
        <f t="shared" si="2"/>
        <v>2</v>
      </c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3">
        <f t="shared" si="3"/>
        <v>0</v>
      </c>
    </row>
    <row r="99" spans="1:29" ht="24.95" customHeight="1" x14ac:dyDescent="0.25">
      <c r="A99" s="19" t="s">
        <v>517</v>
      </c>
      <c r="B99" s="19" t="s">
        <v>512</v>
      </c>
      <c r="C99" s="19" t="s">
        <v>518</v>
      </c>
      <c r="D99" s="20"/>
      <c r="E99" s="20"/>
      <c r="F99" s="21"/>
      <c r="G99" s="21">
        <f t="shared" si="2"/>
        <v>2</v>
      </c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3">
        <f t="shared" si="3"/>
        <v>0</v>
      </c>
    </row>
    <row r="100" spans="1:29" ht="24.95" customHeight="1" x14ac:dyDescent="0.25">
      <c r="A100" s="19" t="s">
        <v>522</v>
      </c>
      <c r="B100" s="19" t="s">
        <v>383</v>
      </c>
      <c r="C100" s="19" t="s">
        <v>523</v>
      </c>
      <c r="D100" s="20"/>
      <c r="E100" s="20"/>
      <c r="F100" s="21"/>
      <c r="G100" s="21">
        <f t="shared" si="2"/>
        <v>2</v>
      </c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3">
        <f t="shared" si="3"/>
        <v>0</v>
      </c>
    </row>
    <row r="101" spans="1:29" ht="24.95" customHeight="1" x14ac:dyDescent="0.25">
      <c r="A101" s="19" t="s">
        <v>527</v>
      </c>
      <c r="B101" s="19" t="s">
        <v>528</v>
      </c>
      <c r="C101" s="19" t="s">
        <v>529</v>
      </c>
      <c r="D101" s="20"/>
      <c r="E101" s="20"/>
      <c r="F101" s="21"/>
      <c r="G101" s="21">
        <f t="shared" si="2"/>
        <v>2</v>
      </c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3">
        <f t="shared" si="3"/>
        <v>0</v>
      </c>
    </row>
    <row r="102" spans="1:29" ht="24.95" customHeight="1" x14ac:dyDescent="0.25">
      <c r="A102" s="19" t="s">
        <v>533</v>
      </c>
      <c r="B102" s="19" t="s">
        <v>534</v>
      </c>
      <c r="C102" s="19" t="s">
        <v>535</v>
      </c>
      <c r="D102" s="20"/>
      <c r="E102" s="20"/>
      <c r="F102" s="21"/>
      <c r="G102" s="21">
        <f t="shared" si="2"/>
        <v>2</v>
      </c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3">
        <f t="shared" si="3"/>
        <v>0</v>
      </c>
    </row>
    <row r="103" spans="1:29" ht="24.95" customHeight="1" x14ac:dyDescent="0.25">
      <c r="A103" s="25" t="s">
        <v>164</v>
      </c>
      <c r="B103" s="25" t="s">
        <v>165</v>
      </c>
      <c r="C103" s="25" t="s">
        <v>867</v>
      </c>
      <c r="D103" s="26" t="s">
        <v>868</v>
      </c>
      <c r="E103" s="26" t="s">
        <v>869</v>
      </c>
      <c r="F103" s="27">
        <v>46111</v>
      </c>
      <c r="G103" s="27">
        <f t="shared" si="2"/>
        <v>46113</v>
      </c>
      <c r="H103" s="22">
        <v>445</v>
      </c>
      <c r="I103" s="22">
        <v>1939</v>
      </c>
      <c r="J103" s="22">
        <v>22</v>
      </c>
      <c r="K103" s="22">
        <v>42</v>
      </c>
      <c r="L103" s="22">
        <v>31</v>
      </c>
      <c r="M103" s="22">
        <v>3</v>
      </c>
      <c r="N103" s="22">
        <v>1</v>
      </c>
      <c r="O103" s="22">
        <v>0</v>
      </c>
      <c r="P103" s="22">
        <v>1</v>
      </c>
      <c r="Q103" s="22">
        <v>0</v>
      </c>
      <c r="R103" s="22">
        <v>1</v>
      </c>
      <c r="S103" s="22">
        <v>1</v>
      </c>
      <c r="T103" s="22">
        <v>12</v>
      </c>
      <c r="U103" s="22">
        <v>1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3">
        <f t="shared" si="3"/>
        <v>2499</v>
      </c>
    </row>
    <row r="104" spans="1:29" ht="24.95" customHeight="1" x14ac:dyDescent="0.25">
      <c r="A104" s="25" t="s">
        <v>539</v>
      </c>
      <c r="B104" s="25" t="s">
        <v>540</v>
      </c>
      <c r="C104" s="25" t="s">
        <v>541</v>
      </c>
      <c r="D104" s="28" t="s">
        <v>870</v>
      </c>
      <c r="E104" s="28" t="s">
        <v>871</v>
      </c>
      <c r="F104" s="27">
        <v>46107</v>
      </c>
      <c r="G104" s="27">
        <f t="shared" si="2"/>
        <v>46109</v>
      </c>
      <c r="H104" s="22">
        <v>554</v>
      </c>
      <c r="I104" s="22">
        <v>1798</v>
      </c>
      <c r="J104" s="22">
        <v>9</v>
      </c>
      <c r="K104" s="22">
        <v>98</v>
      </c>
      <c r="L104" s="22">
        <v>30</v>
      </c>
      <c r="M104" s="22">
        <v>11</v>
      </c>
      <c r="N104" s="22">
        <v>3</v>
      </c>
      <c r="O104" s="22">
        <v>1</v>
      </c>
      <c r="P104" s="22">
        <v>0</v>
      </c>
      <c r="Q104" s="22">
        <v>3</v>
      </c>
      <c r="R104" s="22">
        <v>2</v>
      </c>
      <c r="S104" s="22">
        <v>3</v>
      </c>
      <c r="T104" s="22">
        <v>19</v>
      </c>
      <c r="U104" s="22">
        <v>1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1</v>
      </c>
      <c r="AC104" s="23">
        <f t="shared" si="3"/>
        <v>2533</v>
      </c>
    </row>
    <row r="105" spans="1:29" ht="24.95" customHeight="1" x14ac:dyDescent="0.25">
      <c r="A105" s="19" t="s">
        <v>545</v>
      </c>
      <c r="B105" s="19" t="s">
        <v>546</v>
      </c>
      <c r="C105" s="19" t="s">
        <v>547</v>
      </c>
      <c r="D105" s="20" t="s">
        <v>872</v>
      </c>
      <c r="E105" s="20" t="s">
        <v>873</v>
      </c>
      <c r="F105" s="21">
        <v>46126</v>
      </c>
      <c r="G105" s="21">
        <f t="shared" si="2"/>
        <v>46128</v>
      </c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3">
        <f t="shared" si="3"/>
        <v>0</v>
      </c>
    </row>
    <row r="106" spans="1:29" ht="24.95" customHeight="1" x14ac:dyDescent="0.25">
      <c r="A106" s="19" t="s">
        <v>551</v>
      </c>
      <c r="B106" s="19" t="s">
        <v>496</v>
      </c>
      <c r="C106" s="19" t="s">
        <v>552</v>
      </c>
      <c r="D106" s="20"/>
      <c r="E106" s="20"/>
      <c r="F106" s="21"/>
      <c r="G106" s="21">
        <f t="shared" si="2"/>
        <v>2</v>
      </c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3">
        <f t="shared" si="3"/>
        <v>0</v>
      </c>
    </row>
    <row r="107" spans="1:29" ht="24.95" customHeight="1" x14ac:dyDescent="0.25">
      <c r="A107" s="19" t="s">
        <v>556</v>
      </c>
      <c r="B107" s="19" t="s">
        <v>360</v>
      </c>
      <c r="C107" s="19" t="s">
        <v>557</v>
      </c>
      <c r="D107" s="20"/>
      <c r="E107" s="20"/>
      <c r="F107" s="21"/>
      <c r="G107" s="21">
        <f t="shared" si="2"/>
        <v>2</v>
      </c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3">
        <f t="shared" si="3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0"/>
      <c r="E108" s="20"/>
      <c r="F108" s="21"/>
      <c r="G108" s="21">
        <f t="shared" si="2"/>
        <v>2</v>
      </c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3">
        <f t="shared" si="3"/>
        <v>0</v>
      </c>
    </row>
    <row r="109" spans="1:29" ht="24.95" customHeight="1" x14ac:dyDescent="0.25">
      <c r="A109" s="19" t="s">
        <v>561</v>
      </c>
      <c r="B109" s="19" t="s">
        <v>42</v>
      </c>
      <c r="C109" s="19" t="s">
        <v>562</v>
      </c>
      <c r="D109" s="20"/>
      <c r="E109" s="20"/>
      <c r="F109" s="21"/>
      <c r="G109" s="21">
        <f t="shared" si="2"/>
        <v>2</v>
      </c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3">
        <f t="shared" si="3"/>
        <v>0</v>
      </c>
    </row>
    <row r="110" spans="1:29" ht="24.95" customHeight="1" x14ac:dyDescent="0.25">
      <c r="A110" s="25" t="s">
        <v>565</v>
      </c>
      <c r="B110" s="25" t="s">
        <v>566</v>
      </c>
      <c r="C110" s="25" t="s">
        <v>567</v>
      </c>
      <c r="D110" s="26" t="s">
        <v>874</v>
      </c>
      <c r="E110" s="26" t="s">
        <v>875</v>
      </c>
      <c r="F110" s="27">
        <v>46119</v>
      </c>
      <c r="G110" s="27">
        <f t="shared" si="2"/>
        <v>46121</v>
      </c>
      <c r="H110" s="22">
        <v>1091</v>
      </c>
      <c r="I110" s="22">
        <v>3555</v>
      </c>
      <c r="J110" s="22">
        <v>56</v>
      </c>
      <c r="K110" s="22">
        <v>320</v>
      </c>
      <c r="L110" s="22">
        <v>57</v>
      </c>
      <c r="M110" s="22">
        <v>3</v>
      </c>
      <c r="N110" s="22">
        <v>29</v>
      </c>
      <c r="O110" s="22">
        <v>3</v>
      </c>
      <c r="P110" s="22">
        <v>0</v>
      </c>
      <c r="Q110" s="22">
        <v>0</v>
      </c>
      <c r="R110" s="22">
        <v>1</v>
      </c>
      <c r="S110" s="22">
        <v>3</v>
      </c>
      <c r="T110" s="22">
        <v>41</v>
      </c>
      <c r="U110" s="22">
        <v>8</v>
      </c>
      <c r="V110" s="22">
        <v>1</v>
      </c>
      <c r="W110" s="22">
        <v>1</v>
      </c>
      <c r="X110" s="22">
        <v>0</v>
      </c>
      <c r="Y110" s="22">
        <v>0</v>
      </c>
      <c r="Z110" s="22">
        <v>2</v>
      </c>
      <c r="AA110" s="22">
        <v>0</v>
      </c>
      <c r="AB110" s="22">
        <v>0</v>
      </c>
      <c r="AC110" s="23">
        <f t="shared" si="3"/>
        <v>5171</v>
      </c>
    </row>
    <row r="111" spans="1:29" ht="24.95" customHeight="1" x14ac:dyDescent="0.25">
      <c r="A111" s="19" t="s">
        <v>571</v>
      </c>
      <c r="B111" s="19" t="s">
        <v>210</v>
      </c>
      <c r="C111" s="19" t="s">
        <v>572</v>
      </c>
      <c r="D111" s="20" t="s">
        <v>876</v>
      </c>
      <c r="E111" s="20" t="s">
        <v>877</v>
      </c>
      <c r="F111" s="21">
        <v>46126</v>
      </c>
      <c r="G111" s="21">
        <f t="shared" si="2"/>
        <v>46128</v>
      </c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3">
        <f t="shared" si="3"/>
        <v>0</v>
      </c>
    </row>
    <row r="112" spans="1:29" ht="24.95" customHeight="1" x14ac:dyDescent="0.25">
      <c r="A112" s="19" t="s">
        <v>576</v>
      </c>
      <c r="B112" s="19" t="s">
        <v>210</v>
      </c>
      <c r="C112" s="19" t="s">
        <v>577</v>
      </c>
      <c r="D112" s="20"/>
      <c r="E112" s="20"/>
      <c r="F112" s="21"/>
      <c r="G112" s="21">
        <f t="shared" si="2"/>
        <v>2</v>
      </c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3">
        <f t="shared" si="3"/>
        <v>0</v>
      </c>
    </row>
    <row r="113" spans="1:29" ht="24.95" customHeight="1" x14ac:dyDescent="0.25">
      <c r="A113" s="19" t="s">
        <v>581</v>
      </c>
      <c r="B113" s="19" t="s">
        <v>582</v>
      </c>
      <c r="C113" s="19" t="s">
        <v>583</v>
      </c>
      <c r="D113" s="20"/>
      <c r="E113" s="20"/>
      <c r="F113" s="21"/>
      <c r="G113" s="21">
        <f t="shared" si="2"/>
        <v>2</v>
      </c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3">
        <f t="shared" si="3"/>
        <v>0</v>
      </c>
    </row>
    <row r="114" spans="1:29" ht="24.95" customHeight="1" x14ac:dyDescent="0.25">
      <c r="A114" s="19" t="s">
        <v>587</v>
      </c>
      <c r="B114" s="19" t="s">
        <v>496</v>
      </c>
      <c r="C114" s="19" t="s">
        <v>588</v>
      </c>
      <c r="D114" s="20"/>
      <c r="E114" s="20"/>
      <c r="F114" s="21"/>
      <c r="G114" s="21">
        <f t="shared" si="2"/>
        <v>2</v>
      </c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3">
        <f t="shared" si="3"/>
        <v>0</v>
      </c>
    </row>
    <row r="115" spans="1:29" ht="24.95" customHeight="1" x14ac:dyDescent="0.25">
      <c r="A115" s="19" t="s">
        <v>592</v>
      </c>
      <c r="B115" s="19" t="s">
        <v>593</v>
      </c>
      <c r="C115" s="19" t="s">
        <v>594</v>
      </c>
      <c r="D115" s="20"/>
      <c r="E115" s="20"/>
      <c r="F115" s="21"/>
      <c r="G115" s="21">
        <f t="shared" si="2"/>
        <v>2</v>
      </c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3">
        <f t="shared" si="3"/>
        <v>0</v>
      </c>
    </row>
    <row r="116" spans="1:29" ht="24.95" customHeight="1" x14ac:dyDescent="0.25">
      <c r="A116" s="19" t="s">
        <v>598</v>
      </c>
      <c r="B116" s="19" t="s">
        <v>599</v>
      </c>
      <c r="C116" s="19" t="s">
        <v>600</v>
      </c>
      <c r="D116" s="20"/>
      <c r="E116" s="20"/>
      <c r="F116" s="21"/>
      <c r="G116" s="21">
        <f t="shared" si="2"/>
        <v>2</v>
      </c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3">
        <f t="shared" si="3"/>
        <v>0</v>
      </c>
    </row>
    <row r="117" spans="1:29" ht="24.95" customHeight="1" x14ac:dyDescent="0.25">
      <c r="A117" s="19" t="s">
        <v>603</v>
      </c>
      <c r="B117" s="19" t="s">
        <v>142</v>
      </c>
      <c r="C117" s="19" t="s">
        <v>604</v>
      </c>
      <c r="D117" s="20"/>
      <c r="E117" s="20"/>
      <c r="F117" s="21"/>
      <c r="G117" s="21">
        <f t="shared" si="2"/>
        <v>2</v>
      </c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3">
        <f t="shared" si="3"/>
        <v>0</v>
      </c>
    </row>
    <row r="118" spans="1:29" ht="24.95" customHeight="1" x14ac:dyDescent="0.25">
      <c r="A118" s="19" t="s">
        <v>608</v>
      </c>
      <c r="B118" s="19" t="s">
        <v>104</v>
      </c>
      <c r="C118" s="19" t="s">
        <v>609</v>
      </c>
      <c r="D118" s="20"/>
      <c r="E118" s="20"/>
      <c r="F118" s="21"/>
      <c r="G118" s="21">
        <f t="shared" si="2"/>
        <v>2</v>
      </c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3">
        <f t="shared" si="3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0"/>
      <c r="E119" s="20"/>
      <c r="F119" s="21"/>
      <c r="G119" s="21">
        <f t="shared" si="2"/>
        <v>2</v>
      </c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3">
        <f t="shared" si="3"/>
        <v>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0"/>
      <c r="E120" s="20"/>
      <c r="F120" s="21"/>
      <c r="G120" s="21">
        <f t="shared" si="2"/>
        <v>2</v>
      </c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3">
        <f t="shared" si="3"/>
        <v>0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0"/>
      <c r="E121" s="20"/>
      <c r="F121" s="21"/>
      <c r="G121" s="21">
        <f t="shared" si="2"/>
        <v>2</v>
      </c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3">
        <f t="shared" si="3"/>
        <v>0</v>
      </c>
    </row>
    <row r="122" spans="1:29" ht="24.95" customHeight="1" x14ac:dyDescent="0.25">
      <c r="A122" s="25" t="s">
        <v>30</v>
      </c>
      <c r="B122" s="25" t="s">
        <v>12</v>
      </c>
      <c r="C122" s="25" t="s">
        <v>31</v>
      </c>
      <c r="D122" s="26" t="s">
        <v>878</v>
      </c>
      <c r="E122" s="26" t="s">
        <v>879</v>
      </c>
      <c r="F122" s="27">
        <v>46111</v>
      </c>
      <c r="G122" s="27">
        <f t="shared" si="2"/>
        <v>46113</v>
      </c>
      <c r="H122" s="22">
        <v>1909</v>
      </c>
      <c r="I122" s="22">
        <v>2215</v>
      </c>
      <c r="J122" s="22">
        <v>51</v>
      </c>
      <c r="K122" s="22">
        <v>438</v>
      </c>
      <c r="L122" s="22">
        <v>140</v>
      </c>
      <c r="M122" s="22">
        <v>13</v>
      </c>
      <c r="N122" s="22">
        <v>32</v>
      </c>
      <c r="O122" s="22">
        <v>3</v>
      </c>
      <c r="P122" s="22">
        <v>6</v>
      </c>
      <c r="Q122" s="22">
        <v>11</v>
      </c>
      <c r="R122" s="22">
        <v>15</v>
      </c>
      <c r="S122" s="22">
        <v>5</v>
      </c>
      <c r="T122" s="22">
        <v>61</v>
      </c>
      <c r="U122" s="22">
        <v>1</v>
      </c>
      <c r="V122" s="22">
        <v>0</v>
      </c>
      <c r="W122" s="22">
        <v>1</v>
      </c>
      <c r="X122" s="22">
        <v>1</v>
      </c>
      <c r="Y122" s="22">
        <v>0</v>
      </c>
      <c r="Z122" s="22">
        <v>1</v>
      </c>
      <c r="AA122" s="22">
        <v>4</v>
      </c>
      <c r="AB122" s="22">
        <v>8</v>
      </c>
      <c r="AC122" s="23">
        <f t="shared" si="3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0"/>
      <c r="E123" s="20"/>
      <c r="F123" s="21"/>
      <c r="G123" s="21">
        <f t="shared" si="2"/>
        <v>2</v>
      </c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3">
        <f t="shared" si="3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0"/>
      <c r="E124" s="20"/>
      <c r="F124" s="21"/>
      <c r="G124" s="21">
        <f t="shared" si="2"/>
        <v>2</v>
      </c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3">
        <f t="shared" si="3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0"/>
      <c r="E125" s="20"/>
      <c r="F125" s="21"/>
      <c r="G125" s="21">
        <f t="shared" si="2"/>
        <v>2</v>
      </c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3">
        <f t="shared" si="3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0"/>
      <c r="E126" s="20"/>
      <c r="F126" s="21"/>
      <c r="G126" s="21">
        <f t="shared" si="2"/>
        <v>2</v>
      </c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3">
        <f t="shared" si="3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0"/>
      <c r="E127" s="20"/>
      <c r="F127" s="21"/>
      <c r="G127" s="21">
        <f t="shared" si="2"/>
        <v>2</v>
      </c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3">
        <f t="shared" si="3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0"/>
      <c r="E128" s="20"/>
      <c r="F128" s="21"/>
      <c r="G128" s="21">
        <f t="shared" si="2"/>
        <v>2</v>
      </c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3">
        <f t="shared" si="3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0"/>
      <c r="E129" s="20"/>
      <c r="F129" s="21"/>
      <c r="G129" s="21">
        <f t="shared" si="2"/>
        <v>2</v>
      </c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3">
        <f t="shared" si="3"/>
        <v>0</v>
      </c>
    </row>
    <row r="130" spans="1:29" ht="24.95" customHeight="1" x14ac:dyDescent="0.25">
      <c r="A130" s="25" t="s">
        <v>279</v>
      </c>
      <c r="B130" s="25" t="s">
        <v>36</v>
      </c>
      <c r="C130" s="25" t="s">
        <v>280</v>
      </c>
      <c r="D130" s="28" t="s">
        <v>880</v>
      </c>
      <c r="E130" s="28" t="s">
        <v>881</v>
      </c>
      <c r="F130" s="27">
        <v>46104</v>
      </c>
      <c r="G130" s="27">
        <f t="shared" si="2"/>
        <v>46106</v>
      </c>
      <c r="H130" s="22">
        <v>622</v>
      </c>
      <c r="I130" s="22">
        <v>410</v>
      </c>
      <c r="J130" s="22">
        <v>9</v>
      </c>
      <c r="K130" s="22">
        <v>73</v>
      </c>
      <c r="L130" s="22">
        <v>2</v>
      </c>
      <c r="M130" s="22">
        <v>0</v>
      </c>
      <c r="N130" s="22">
        <v>8</v>
      </c>
      <c r="O130" s="22">
        <v>0</v>
      </c>
      <c r="P130" s="22">
        <v>1</v>
      </c>
      <c r="Q130" s="22">
        <v>0</v>
      </c>
      <c r="R130" s="22">
        <v>0</v>
      </c>
      <c r="S130" s="22">
        <v>0</v>
      </c>
      <c r="T130" s="22">
        <v>20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3">
        <f t="shared" si="3"/>
        <v>1145</v>
      </c>
    </row>
    <row r="131" spans="1:29" ht="24.95" customHeight="1" x14ac:dyDescent="0.25">
      <c r="A131" s="25" t="s">
        <v>284</v>
      </c>
      <c r="B131" s="25" t="s">
        <v>36</v>
      </c>
      <c r="C131" s="25" t="s">
        <v>285</v>
      </c>
      <c r="D131" s="28" t="s">
        <v>882</v>
      </c>
      <c r="E131" s="28" t="s">
        <v>883</v>
      </c>
      <c r="F131" s="27">
        <v>46104</v>
      </c>
      <c r="G131" s="27">
        <f t="shared" si="2"/>
        <v>46106</v>
      </c>
      <c r="H131" s="22">
        <v>1111</v>
      </c>
      <c r="I131" s="22">
        <v>721</v>
      </c>
      <c r="J131" s="22">
        <v>14</v>
      </c>
      <c r="K131" s="22">
        <v>75</v>
      </c>
      <c r="L131" s="22">
        <v>5</v>
      </c>
      <c r="M131" s="22">
        <v>2</v>
      </c>
      <c r="N131" s="22">
        <v>22</v>
      </c>
      <c r="O131" s="22">
        <v>0</v>
      </c>
      <c r="P131" s="22">
        <v>0</v>
      </c>
      <c r="Q131" s="22">
        <v>0</v>
      </c>
      <c r="R131" s="22">
        <v>0</v>
      </c>
      <c r="S131" s="22">
        <v>1</v>
      </c>
      <c r="T131" s="22">
        <v>33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3">
        <f t="shared" si="3"/>
        <v>1984</v>
      </c>
    </row>
    <row r="132" spans="1:29" ht="24.95" customHeight="1" x14ac:dyDescent="0.25">
      <c r="A132" s="25" t="s">
        <v>81</v>
      </c>
      <c r="B132" s="25" t="s">
        <v>36</v>
      </c>
      <c r="C132" s="25" t="s">
        <v>82</v>
      </c>
      <c r="D132" s="28" t="s">
        <v>884</v>
      </c>
      <c r="E132" s="28" t="s">
        <v>885</v>
      </c>
      <c r="F132" s="27">
        <v>46107</v>
      </c>
      <c r="G132" s="27">
        <f t="shared" si="2"/>
        <v>46109</v>
      </c>
      <c r="H132" s="22">
        <v>1644</v>
      </c>
      <c r="I132" s="22">
        <v>765</v>
      </c>
      <c r="J132" s="22">
        <v>19</v>
      </c>
      <c r="K132" s="22">
        <v>108</v>
      </c>
      <c r="L132" s="22">
        <v>9</v>
      </c>
      <c r="M132" s="22">
        <v>2</v>
      </c>
      <c r="N132" s="22">
        <v>12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38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3">
        <f t="shared" si="3"/>
        <v>2597</v>
      </c>
    </row>
    <row r="133" spans="1:29" ht="24.95" customHeight="1" x14ac:dyDescent="0.25">
      <c r="A133" s="25" t="s">
        <v>86</v>
      </c>
      <c r="B133" s="25" t="s">
        <v>87</v>
      </c>
      <c r="C133" s="25" t="s">
        <v>88</v>
      </c>
      <c r="D133" s="28" t="s">
        <v>886</v>
      </c>
      <c r="E133" s="28" t="s">
        <v>887</v>
      </c>
      <c r="F133" s="27">
        <v>46107</v>
      </c>
      <c r="G133" s="27">
        <f t="shared" si="2"/>
        <v>46109</v>
      </c>
      <c r="H133" s="22">
        <v>787</v>
      </c>
      <c r="I133" s="22">
        <v>723</v>
      </c>
      <c r="J133" s="22">
        <v>21</v>
      </c>
      <c r="K133" s="22">
        <v>121</v>
      </c>
      <c r="L133" s="22">
        <v>7</v>
      </c>
      <c r="M133" s="22">
        <v>3</v>
      </c>
      <c r="N133" s="22">
        <v>23</v>
      </c>
      <c r="O133" s="22">
        <v>0</v>
      </c>
      <c r="P133" s="22">
        <v>0</v>
      </c>
      <c r="Q133" s="22">
        <v>0</v>
      </c>
      <c r="R133" s="22">
        <v>0</v>
      </c>
      <c r="S133" s="22">
        <v>1</v>
      </c>
      <c r="T133" s="22">
        <v>46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1</v>
      </c>
      <c r="AB133" s="22">
        <v>0</v>
      </c>
      <c r="AC133" s="23">
        <f t="shared" si="3"/>
        <v>1733</v>
      </c>
    </row>
    <row r="134" spans="1:29" ht="24.95" customHeight="1" x14ac:dyDescent="0.25">
      <c r="A134" s="25" t="s">
        <v>92</v>
      </c>
      <c r="B134" s="25" t="s">
        <v>87</v>
      </c>
      <c r="C134" s="25" t="s">
        <v>93</v>
      </c>
      <c r="D134" s="28" t="s">
        <v>888</v>
      </c>
      <c r="E134" s="28" t="s">
        <v>889</v>
      </c>
      <c r="F134" s="27">
        <v>46107</v>
      </c>
      <c r="G134" s="27">
        <f t="shared" ref="G134:G153" si="4">F134+2</f>
        <v>46109</v>
      </c>
      <c r="H134" s="22">
        <v>1129</v>
      </c>
      <c r="I134" s="22">
        <v>465</v>
      </c>
      <c r="J134" s="22">
        <v>20</v>
      </c>
      <c r="K134" s="22">
        <v>60</v>
      </c>
      <c r="L134" s="22">
        <v>6</v>
      </c>
      <c r="M134" s="22">
        <v>2</v>
      </c>
      <c r="N134" s="22">
        <v>13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29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3">
        <f t="shared" ref="AC134:AC153" si="5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0"/>
      <c r="E135" s="20"/>
      <c r="F135" s="21"/>
      <c r="G135" s="21">
        <f t="shared" si="4"/>
        <v>2</v>
      </c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3">
        <f t="shared" si="5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0"/>
      <c r="E136" s="20"/>
      <c r="F136" s="21"/>
      <c r="G136" s="21">
        <f t="shared" si="4"/>
        <v>2</v>
      </c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3">
        <f t="shared" si="5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0"/>
      <c r="E137" s="20"/>
      <c r="F137" s="21"/>
      <c r="G137" s="21">
        <f t="shared" si="4"/>
        <v>2</v>
      </c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3">
        <f t="shared" si="5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0"/>
      <c r="E138" s="20"/>
      <c r="F138" s="21"/>
      <c r="G138" s="21">
        <f t="shared" si="4"/>
        <v>2</v>
      </c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3">
        <f t="shared" si="5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0"/>
      <c r="E139" s="20"/>
      <c r="F139" s="21"/>
      <c r="G139" s="21">
        <f t="shared" si="4"/>
        <v>2</v>
      </c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3">
        <f t="shared" si="5"/>
        <v>0</v>
      </c>
    </row>
    <row r="140" spans="1:29" ht="24.95" customHeight="1" x14ac:dyDescent="0.25">
      <c r="A140" s="25" t="s">
        <v>75</v>
      </c>
      <c r="B140" s="25" t="s">
        <v>76</v>
      </c>
      <c r="C140" s="25" t="s">
        <v>77</v>
      </c>
      <c r="D140" s="26" t="s">
        <v>890</v>
      </c>
      <c r="E140" s="26" t="s">
        <v>891</v>
      </c>
      <c r="F140" s="27">
        <v>46111</v>
      </c>
      <c r="G140" s="27">
        <f t="shared" si="4"/>
        <v>46113</v>
      </c>
      <c r="H140" s="22">
        <v>439</v>
      </c>
      <c r="I140" s="22">
        <v>1018</v>
      </c>
      <c r="J140" s="22">
        <v>50</v>
      </c>
      <c r="K140" s="22">
        <v>249</v>
      </c>
      <c r="L140" s="22">
        <v>44</v>
      </c>
      <c r="M140" s="22">
        <v>9</v>
      </c>
      <c r="N140" s="22">
        <v>7</v>
      </c>
      <c r="O140" s="22">
        <v>0</v>
      </c>
      <c r="P140" s="22">
        <v>2</v>
      </c>
      <c r="Q140" s="22">
        <v>3</v>
      </c>
      <c r="R140" s="22">
        <v>0</v>
      </c>
      <c r="S140" s="22">
        <v>1</v>
      </c>
      <c r="T140" s="22">
        <v>15</v>
      </c>
      <c r="U140" s="22">
        <v>0</v>
      </c>
      <c r="V140" s="22">
        <v>0</v>
      </c>
      <c r="W140" s="22">
        <v>1</v>
      </c>
      <c r="X140" s="22">
        <v>0</v>
      </c>
      <c r="Y140" s="22">
        <v>0</v>
      </c>
      <c r="Z140" s="22">
        <v>0</v>
      </c>
      <c r="AA140" s="22">
        <v>0</v>
      </c>
      <c r="AB140" s="22">
        <v>1</v>
      </c>
      <c r="AC140" s="23">
        <f t="shared" si="5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0"/>
      <c r="E141" s="20"/>
      <c r="F141" s="21"/>
      <c r="G141" s="21">
        <f t="shared" si="4"/>
        <v>2</v>
      </c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3">
        <f t="shared" si="5"/>
        <v>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0"/>
      <c r="E142" s="20"/>
      <c r="F142" s="21"/>
      <c r="G142" s="21">
        <f t="shared" si="4"/>
        <v>2</v>
      </c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3">
        <f t="shared" si="5"/>
        <v>0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0"/>
      <c r="E143" s="20"/>
      <c r="F143" s="21"/>
      <c r="G143" s="21">
        <f t="shared" si="4"/>
        <v>2</v>
      </c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3">
        <f t="shared" si="5"/>
        <v>0</v>
      </c>
    </row>
    <row r="144" spans="1:29" ht="24.95" customHeight="1" x14ac:dyDescent="0.25">
      <c r="A144" s="25" t="s">
        <v>230</v>
      </c>
      <c r="B144" s="25" t="s">
        <v>231</v>
      </c>
      <c r="C144" s="25" t="s">
        <v>232</v>
      </c>
      <c r="D144" s="28" t="s">
        <v>892</v>
      </c>
      <c r="E144" s="28" t="s">
        <v>893</v>
      </c>
      <c r="F144" s="27">
        <v>46104</v>
      </c>
      <c r="G144" s="27">
        <f t="shared" si="4"/>
        <v>46106</v>
      </c>
      <c r="H144" s="22">
        <v>1037</v>
      </c>
      <c r="I144" s="22">
        <v>1520</v>
      </c>
      <c r="J144" s="22">
        <v>21</v>
      </c>
      <c r="K144" s="22">
        <v>188</v>
      </c>
      <c r="L144" s="22">
        <v>11</v>
      </c>
      <c r="M144" s="22">
        <v>1</v>
      </c>
      <c r="N144" s="22">
        <v>44</v>
      </c>
      <c r="O144" s="22">
        <v>0</v>
      </c>
      <c r="P144" s="22">
        <v>0</v>
      </c>
      <c r="Q144" s="22">
        <v>0</v>
      </c>
      <c r="R144" s="22">
        <v>1</v>
      </c>
      <c r="S144" s="22">
        <v>2</v>
      </c>
      <c r="T144" s="22">
        <v>29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3">
        <f t="shared" si="5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0"/>
      <c r="E145" s="20"/>
      <c r="F145" s="21"/>
      <c r="G145" s="21">
        <f t="shared" si="4"/>
        <v>2</v>
      </c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3">
        <f t="shared" si="5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0"/>
      <c r="E146" s="20"/>
      <c r="F146" s="21"/>
      <c r="G146" s="21">
        <f t="shared" si="4"/>
        <v>2</v>
      </c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3">
        <f t="shared" si="5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0"/>
      <c r="E147" s="20"/>
      <c r="F147" s="21"/>
      <c r="G147" s="21">
        <f t="shared" si="4"/>
        <v>2</v>
      </c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3">
        <f t="shared" si="5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0"/>
      <c r="E148" s="20"/>
      <c r="F148" s="21"/>
      <c r="G148" s="21">
        <f t="shared" si="4"/>
        <v>2</v>
      </c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3">
        <f t="shared" si="5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0"/>
      <c r="E149" s="20"/>
      <c r="F149" s="21"/>
      <c r="G149" s="21">
        <f t="shared" si="4"/>
        <v>2</v>
      </c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3">
        <f t="shared" si="5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0"/>
      <c r="E150" s="20"/>
      <c r="F150" s="21"/>
      <c r="G150" s="21">
        <f t="shared" si="4"/>
        <v>2</v>
      </c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3">
        <f t="shared" si="5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0"/>
      <c r="E151" s="20"/>
      <c r="F151" s="21"/>
      <c r="G151" s="21">
        <f t="shared" si="4"/>
        <v>2</v>
      </c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3">
        <f t="shared" si="5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0"/>
      <c r="E152" s="20"/>
      <c r="F152" s="21"/>
      <c r="G152" s="21">
        <f t="shared" si="4"/>
        <v>2</v>
      </c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3">
        <f t="shared" si="5"/>
        <v>0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0"/>
      <c r="E153" s="20"/>
      <c r="F153" s="21"/>
      <c r="G153" s="21">
        <f t="shared" si="4"/>
        <v>2</v>
      </c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3">
        <f t="shared" si="5"/>
        <v>0</v>
      </c>
    </row>
    <row r="154" spans="1:29" x14ac:dyDescent="0.25">
      <c r="H154" s="31"/>
      <c r="I154" s="31"/>
      <c r="J154" s="31"/>
    </row>
    <row r="155" spans="1:29" x14ac:dyDescent="0.25">
      <c r="H155" s="31"/>
      <c r="I155" s="31"/>
      <c r="J155" s="31"/>
    </row>
    <row r="156" spans="1:29" x14ac:dyDescent="0.25">
      <c r="H156" s="31"/>
      <c r="I156" s="31"/>
      <c r="J156" s="31"/>
    </row>
    <row r="157" spans="1:29" x14ac:dyDescent="0.25">
      <c r="J157" s="32"/>
    </row>
  </sheetData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2026-04-15T19:39:01Z</dcterms:modified>
</cp:coreProperties>
</file>