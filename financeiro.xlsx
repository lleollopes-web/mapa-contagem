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1437AACE-A34E-4528-88FD-B2BC405F190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" i="1" l="1"/>
  <c r="U4" i="1"/>
  <c r="U5" i="1"/>
  <c r="U6" i="1"/>
  <c r="U7" i="1"/>
  <c r="U8" i="1"/>
  <c r="U3" i="1"/>
  <c r="U10" i="1"/>
  <c r="S11" i="1"/>
  <c r="S9" i="1"/>
  <c r="Q9" i="1"/>
  <c r="O9" i="1"/>
  <c r="M9" i="1"/>
  <c r="K9" i="1"/>
  <c r="I9" i="1"/>
  <c r="G9" i="1"/>
  <c r="G11" i="1" s="1"/>
  <c r="E9" i="1"/>
  <c r="E11" i="1" s="1"/>
  <c r="C9" i="1"/>
  <c r="C11" i="1" s="1"/>
  <c r="Q11" i="1" l="1"/>
  <c r="O11" i="1"/>
  <c r="K11" i="1"/>
  <c r="M11" i="1"/>
  <c r="I11" i="1"/>
  <c r="U15" i="1"/>
  <c r="U11" i="1" l="1"/>
  <c r="U14" i="1"/>
  <c r="U16" i="1" s="1"/>
</calcChain>
</file>

<file path=xl/sharedStrings.xml><?xml version="1.0" encoding="utf-8"?>
<sst xmlns="http://schemas.openxmlformats.org/spreadsheetml/2006/main" count="104" uniqueCount="23">
  <si>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</si>
  <si>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</si>
  <si>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</si>
  <si>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</si>
  <si>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</si>
  <si>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</si>
  <si>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</si>
  <si>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</si>
  <si>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</si>
  <si>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</si>
  <si>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</si>
  <si>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</si>
  <si>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</si>
  <si>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</si>
  <si>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</si>
  <si>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</si>
  <si>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</si>
  <si>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</si>
  <si>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</si>
  <si>
    <t>VIAGEM 06</t>
  </si>
  <si>
    <t>VIAGEM 07</t>
  </si>
  <si>
    <t>VIAGEM 08</t>
  </si>
  <si>
    <t>VIAGEM 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</si>
</sst>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6"/>
  <sheetViews>
    <sheetView tabSelected="1" workbookViewId="0">
      <selection activeCell="U11" sqref="U11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3.140625" bestFit="1" customWidth="1"/>
    <col min="13" max="13" width="13" customWidth="1"/>
    <col min="14" max="14" width="3" bestFit="1" customWidth="1"/>
    <col min="15" max="15" width="13" customWidth="1"/>
    <col min="16" max="16" width="3" bestFit="1" customWidth="1"/>
    <col min="17" max="17" width="13" customWidth="1"/>
    <col min="18" max="18" width="3" bestFit="1" customWidth="1"/>
    <col min="19" max="19" width="13" customWidth="1"/>
    <col min="20" max="20" width="5.140625" customWidth="1"/>
    <col min="21" max="21" width="13" customWidth="1"/>
  </cols>
  <sheetData>
    <row r="1" spans="1:21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</row>
    <row r="2" spans="1:21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19</v>
      </c>
      <c r="N2" s="1" t="s">
        <v>2</v>
      </c>
      <c r="O2" s="1" t="s">
        <v>20</v>
      </c>
      <c r="P2" s="1" t="s">
        <v>2</v>
      </c>
      <c r="Q2" s="1" t="s">
        <v>21</v>
      </c>
      <c r="R2" s="1" t="s">
        <v>2</v>
      </c>
      <c r="S2" s="1" t="s">
        <v>22</v>
      </c>
      <c r="T2" s="1" t="s">
        <v>2</v>
      </c>
      <c r="U2" s="1" t="s">
        <v>6</v>
      </c>
    </row>
    <row r="3" spans="1:21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2080.4899999999998</v>
      </c>
      <c r="L3" s="3" t="s">
        <v>2</v>
      </c>
      <c r="M3" s="4">
        <v>2809.89</v>
      </c>
      <c r="N3" s="3" t="s">
        <v>2</v>
      </c>
      <c r="O3" s="4">
        <v>762.36</v>
      </c>
      <c r="P3" s="3" t="s">
        <v>2</v>
      </c>
      <c r="Q3" s="4">
        <v>3656.99</v>
      </c>
      <c r="R3" s="3" t="s">
        <v>2</v>
      </c>
      <c r="S3" s="4">
        <v>3389.81</v>
      </c>
      <c r="T3" s="3" t="s">
        <v>2</v>
      </c>
      <c r="U3" s="5">
        <f>C3+E3+G3+I3+K3+M3+O3+Q3+S3</f>
        <v>21673.47</v>
      </c>
    </row>
    <row r="4" spans="1:21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1203.76</v>
      </c>
      <c r="L4" s="7" t="s">
        <v>2</v>
      </c>
      <c r="M4" s="8">
        <v>1623.41</v>
      </c>
      <c r="N4" s="7" t="s">
        <v>2</v>
      </c>
      <c r="O4" s="8">
        <v>345.27</v>
      </c>
      <c r="P4" s="7" t="s">
        <v>2</v>
      </c>
      <c r="Q4" s="8">
        <v>1357.77</v>
      </c>
      <c r="R4" s="7" t="s">
        <v>2</v>
      </c>
      <c r="S4" s="8">
        <v>1197.6600000000001</v>
      </c>
      <c r="T4" s="7" t="s">
        <v>2</v>
      </c>
      <c r="U4" s="5">
        <f t="shared" ref="U4:U8" si="0">C4+E4+G4+I4+K4+M4+O4+Q4+S4</f>
        <v>10392.75</v>
      </c>
    </row>
    <row r="5" spans="1:21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230.06</v>
      </c>
      <c r="L5" s="3" t="s">
        <v>2</v>
      </c>
      <c r="M5" s="4">
        <v>238.74</v>
      </c>
      <c r="N5" s="3" t="s">
        <v>2</v>
      </c>
      <c r="O5" s="4">
        <v>53.98</v>
      </c>
      <c r="P5" s="3" t="s">
        <v>2</v>
      </c>
      <c r="Q5" s="4">
        <v>159.85</v>
      </c>
      <c r="R5" s="3" t="s">
        <v>2</v>
      </c>
      <c r="S5" s="4">
        <v>73.989999999999995</v>
      </c>
      <c r="T5" s="3" t="s">
        <v>2</v>
      </c>
      <c r="U5" s="5">
        <f t="shared" si="0"/>
        <v>1323.01</v>
      </c>
    </row>
    <row r="6" spans="1:21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431.45</v>
      </c>
      <c r="L6" s="7" t="s">
        <v>2</v>
      </c>
      <c r="M6" s="8">
        <v>2069.3200000000002</v>
      </c>
      <c r="N6" s="7" t="s">
        <v>2</v>
      </c>
      <c r="O6" s="8">
        <v>638.67999999999995</v>
      </c>
      <c r="P6" s="7" t="s">
        <v>2</v>
      </c>
      <c r="Q6" s="8">
        <v>605.30999999999995</v>
      </c>
      <c r="R6" s="7" t="s">
        <v>2</v>
      </c>
      <c r="S6" s="8">
        <v>867.32</v>
      </c>
      <c r="T6" s="7" t="s">
        <v>2</v>
      </c>
      <c r="U6" s="5">
        <f t="shared" si="0"/>
        <v>5597.7900000000009</v>
      </c>
    </row>
    <row r="7" spans="1:21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1930</v>
      </c>
      <c r="L7" s="3" t="s">
        <v>2</v>
      </c>
      <c r="M7" s="4">
        <v>1346</v>
      </c>
      <c r="N7" s="3" t="s">
        <v>2</v>
      </c>
      <c r="O7" s="4">
        <v>0</v>
      </c>
      <c r="P7" s="3" t="s">
        <v>2</v>
      </c>
      <c r="Q7" s="4">
        <v>1354</v>
      </c>
      <c r="R7" s="3" t="s">
        <v>2</v>
      </c>
      <c r="S7" s="4">
        <v>1020</v>
      </c>
      <c r="T7" s="3" t="s">
        <v>2</v>
      </c>
      <c r="U7" s="5">
        <f t="shared" si="0"/>
        <v>11077.79</v>
      </c>
    </row>
    <row r="8" spans="1:21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8">
        <v>600</v>
      </c>
      <c r="N8" s="7" t="s">
        <v>2</v>
      </c>
      <c r="O8" s="8">
        <v>0</v>
      </c>
      <c r="P8" s="7" t="s">
        <v>2</v>
      </c>
      <c r="Q8" s="8">
        <v>600</v>
      </c>
      <c r="R8" s="7" t="s">
        <v>2</v>
      </c>
      <c r="S8" s="8">
        <v>600</v>
      </c>
      <c r="T8" s="7" t="s">
        <v>2</v>
      </c>
      <c r="U8" s="5">
        <f t="shared" si="0"/>
        <v>3600</v>
      </c>
    </row>
    <row r="9" spans="1:21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9" t="s">
        <v>2</v>
      </c>
      <c r="I9" s="10">
        <f>SUM(I3:I8)</f>
        <v>6722.54</v>
      </c>
      <c r="J9" s="9" t="s">
        <v>2</v>
      </c>
      <c r="K9" s="10">
        <f>SUM(K3:K8)</f>
        <v>6475.76</v>
      </c>
      <c r="L9" s="9" t="s">
        <v>2</v>
      </c>
      <c r="M9" s="10">
        <f>SUM(M3:M8)</f>
        <v>8687.36</v>
      </c>
      <c r="N9" s="10"/>
      <c r="O9" s="10">
        <f>SUM(O3:O8)</f>
        <v>1800.29</v>
      </c>
      <c r="P9" s="10"/>
      <c r="Q9" s="10">
        <f>SUM(Q3:Q8)</f>
        <v>7733.92</v>
      </c>
      <c r="R9" s="10"/>
      <c r="S9" s="10">
        <f>SUM(S3:S8)</f>
        <v>7148.78</v>
      </c>
      <c r="T9" s="9" t="s">
        <v>2</v>
      </c>
      <c r="U9" s="10">
        <f>C9+E9+G9+I9+K9+M9+O9+Q9+S9</f>
        <v>53664.81</v>
      </c>
    </row>
    <row r="10" spans="1:21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15</v>
      </c>
      <c r="L10" s="1"/>
      <c r="M10" s="1">
        <v>18</v>
      </c>
      <c r="N10" s="1"/>
      <c r="O10" s="1">
        <v>5</v>
      </c>
      <c r="P10" s="1"/>
      <c r="Q10" s="1">
        <v>18</v>
      </c>
      <c r="R10" s="1"/>
      <c r="S10" s="1">
        <v>15</v>
      </c>
      <c r="T10" s="1"/>
      <c r="U10" s="1">
        <f>C10+E10+G10+I10+K10+M10+O10+Q10+S10</f>
        <v>121</v>
      </c>
    </row>
    <row r="11" spans="1:21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>
        <f>IF(K10&gt;0,K9/K10,0)</f>
        <v>431.71733333333333</v>
      </c>
      <c r="L11" s="12"/>
      <c r="M11" s="12">
        <f>IF(M10&gt;0,M9/M10,0)</f>
        <v>482.63111111111112</v>
      </c>
      <c r="N11" s="12"/>
      <c r="O11" s="12">
        <f>IF(O10&gt;0,O9/O10,0)</f>
        <v>360.05799999999999</v>
      </c>
      <c r="P11" s="12"/>
      <c r="Q11" s="12">
        <f>IF(Q10&gt;0,Q9/Q10,0)</f>
        <v>429.66222222222223</v>
      </c>
      <c r="R11" s="12"/>
      <c r="S11" s="12">
        <f>IF(S10&gt;0,S9/S10,0)</f>
        <v>476.58533333333332</v>
      </c>
      <c r="T11" s="1"/>
      <c r="U11" s="12">
        <f>IF(U10&gt;0,U9/U10,0)</f>
        <v>443.51082644628099</v>
      </c>
    </row>
    <row r="12" spans="1:21" ht="6" customHeight="1" x14ac:dyDescent="0.25"/>
    <row r="13" spans="1:21" ht="6" customHeight="1" x14ac:dyDescent="0.25"/>
    <row r="14" spans="1:21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3">
        <f>U9</f>
        <v>53664.81</v>
      </c>
    </row>
    <row r="15" spans="1:21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4">
        <f>U10</f>
        <v>121</v>
      </c>
    </row>
    <row r="16" spans="1:21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3">
        <f>U14/U15</f>
        <v>443.51082644628099</v>
      </c>
    </row>
  </sheetData>
  <mergeCells count="1"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Rodrigues Lopes</cp:lastModifiedBy>
  <dcterms:created xsi:type="dcterms:W3CDTF">2026-04-21T00:45:56Z</dcterms:created>
  <dcterms:modified xsi:type="dcterms:W3CDTF">2026-07-07T14:00:48Z</dcterms:modified>
</cp:coreProperties>
</file>