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2700B070-FB93-4D26-9A44-9EAAFD6A9B5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" i="1" l="1"/>
  <c r="K11" i="1"/>
  <c r="O10" i="1"/>
  <c r="O9" i="1"/>
  <c r="M9" i="1"/>
  <c r="K9" i="1"/>
  <c r="O4" i="1"/>
  <c r="O5" i="1"/>
  <c r="O6" i="1"/>
  <c r="O7" i="1"/>
  <c r="O8" i="1"/>
  <c r="O3" i="1"/>
  <c r="I9" i="1"/>
  <c r="G9" i="1"/>
  <c r="G11" i="1" s="1"/>
  <c r="E9" i="1"/>
  <c r="E11" i="1" s="1"/>
  <c r="C9" i="1"/>
  <c r="C11" i="1" s="1"/>
  <c r="I11" i="1" l="1"/>
  <c r="O11" i="1"/>
  <c r="O15" i="1"/>
  <c r="O14" i="1" l="1"/>
  <c r="O16" i="1" s="1"/>
</calcChain>
</file>

<file path=xl/sharedStrings.xml><?xml version="1.0" encoding="utf-8"?>
<sst xmlns="http://schemas.openxmlformats.org/spreadsheetml/2006/main" count="80" uniqueCount="20">
  <si>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</si>
  <si>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</si>
  <si>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</si>
  <si>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</si>
  <si>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</si>
  <si>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</si>
  <si>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</si>
  <si>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</si>
  <si>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</si>
  <si>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</si>
  <si>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</si>
  <si>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</si>
  <si>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</si>
  <si>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</si>
  <si>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</si>
  <si>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</si>
  <si>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</si>
  <si>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</si>
  <si>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</si>
  <si>
    <t>VIAGEM 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</si>
</sst>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6"/>
  <sheetViews>
    <sheetView tabSelected="1" workbookViewId="0">
      <selection activeCell="V13" sqref="V13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3.140625" bestFit="1" customWidth="1"/>
    <col min="13" max="13" width="13" customWidth="1"/>
    <col min="14" max="14" width="5" customWidth="1"/>
    <col min="15" max="15" width="13" customWidth="1"/>
  </cols>
  <sheetData>
    <row r="1" spans="1:15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</row>
    <row r="2" spans="1:15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19</v>
      </c>
      <c r="N2" s="1" t="s">
        <v>2</v>
      </c>
      <c r="O2" s="1" t="s">
        <v>6</v>
      </c>
    </row>
    <row r="3" spans="1:15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4">
        <v>365.02</v>
      </c>
      <c r="N3" s="3" t="s">
        <v>2</v>
      </c>
      <c r="O3" s="5">
        <f>C3+E3+G3+I3</f>
        <v>8973.93</v>
      </c>
    </row>
    <row r="4" spans="1:15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8">
        <v>70.2</v>
      </c>
      <c r="N4" s="7" t="s">
        <v>2</v>
      </c>
      <c r="O4" s="5">
        <f t="shared" ref="O4:O8" si="0">C4+E4+G4+I4</f>
        <v>4664.8799999999992</v>
      </c>
    </row>
    <row r="5" spans="1:15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4">
        <v>0</v>
      </c>
      <c r="N5" s="3" t="s">
        <v>2</v>
      </c>
      <c r="O5" s="5">
        <f t="shared" si="0"/>
        <v>566.39</v>
      </c>
    </row>
    <row r="6" spans="1:15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431.45</v>
      </c>
      <c r="L6" s="7" t="s">
        <v>2</v>
      </c>
      <c r="M6" s="8">
        <v>1292.5</v>
      </c>
      <c r="N6" s="7" t="s">
        <v>2</v>
      </c>
      <c r="O6" s="5">
        <f t="shared" si="0"/>
        <v>985.71</v>
      </c>
    </row>
    <row r="7" spans="1:15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4">
        <v>0</v>
      </c>
      <c r="N7" s="3" t="s">
        <v>2</v>
      </c>
      <c r="O7" s="5">
        <f t="shared" si="0"/>
        <v>5427.79</v>
      </c>
    </row>
    <row r="8" spans="1:15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8">
        <v>600</v>
      </c>
      <c r="N8" s="7" t="s">
        <v>2</v>
      </c>
      <c r="O8" s="5">
        <f t="shared" si="0"/>
        <v>1200</v>
      </c>
    </row>
    <row r="9" spans="1:15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9" t="s">
        <v>2</v>
      </c>
      <c r="I9" s="10">
        <f>SUM(I3:I8)</f>
        <v>6722.54</v>
      </c>
      <c r="J9" s="9" t="s">
        <v>2</v>
      </c>
      <c r="K9" s="10">
        <f>SUM(K3:K8)</f>
        <v>6475.76</v>
      </c>
      <c r="L9" s="9" t="s">
        <v>2</v>
      </c>
      <c r="M9" s="10">
        <f>SUM(M3:M8)</f>
        <v>2327.7200000000003</v>
      </c>
      <c r="N9" s="9" t="s">
        <v>2</v>
      </c>
      <c r="O9" s="10">
        <f>C9+E9+G9+I9+K9+M9</f>
        <v>30622.18</v>
      </c>
    </row>
    <row r="10" spans="1:15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v>15</v>
      </c>
      <c r="N10" s="1"/>
      <c r="O10" s="1">
        <f>C10+E10+G10+I10+K10+M10</f>
        <v>80</v>
      </c>
    </row>
    <row r="11" spans="1:15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>
        <f>IF(K10&gt;0,K9/K10,0)</f>
        <v>431.71733333333333</v>
      </c>
      <c r="L11" s="12"/>
      <c r="M11" s="12">
        <f>IF(M10&gt;0,M9/M10,0)</f>
        <v>155.18133333333336</v>
      </c>
      <c r="N11" s="1"/>
      <c r="O11" s="12">
        <f>IF(O10&gt;0,O9/O10,0)</f>
        <v>382.77724999999998</v>
      </c>
    </row>
    <row r="12" spans="1:15" ht="6" customHeight="1" x14ac:dyDescent="0.25"/>
    <row r="13" spans="1:15" ht="6" customHeight="1" x14ac:dyDescent="0.25"/>
    <row r="14" spans="1:15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3">
        <f>O9</f>
        <v>30622.18</v>
      </c>
    </row>
    <row r="15" spans="1:15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4">
        <f>O10</f>
        <v>80</v>
      </c>
    </row>
    <row r="16" spans="1:15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3">
        <f>O14/O15</f>
        <v>382.77724999999998</v>
      </c>
    </row>
  </sheetData>
  <mergeCells count="1">
    <mergeCell ref="A1:O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2026-05-25T11:28:41Z</dcterms:modified>
</cp:coreProperties>
</file>