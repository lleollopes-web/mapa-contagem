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907CDFB4-732E-46C7-9F3A-4516E85529E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1" l="1"/>
  <c r="S4" i="1"/>
  <c r="S5" i="1"/>
  <c r="S6" i="1"/>
  <c r="S7" i="1"/>
  <c r="S8" i="1"/>
  <c r="S3" i="1"/>
  <c r="Q9" i="1"/>
  <c r="O9" i="1"/>
  <c r="M9" i="1"/>
  <c r="K9" i="1"/>
  <c r="I9" i="1"/>
  <c r="G9" i="1"/>
  <c r="G11" i="1" s="1"/>
  <c r="E9" i="1"/>
  <c r="E11" i="1" s="1"/>
  <c r="C9" i="1"/>
  <c r="C11" i="1" s="1"/>
  <c r="Q11" i="1" l="1"/>
  <c r="O11" i="1"/>
  <c r="K11" i="1"/>
  <c r="M11" i="1"/>
  <c r="S9" i="1"/>
  <c r="I11" i="1"/>
  <c r="S15" i="1"/>
  <c r="S11" i="1" l="1"/>
  <c r="S14" i="1"/>
  <c r="S16" i="1" s="1"/>
</calcChain>
</file>

<file path=xl/sharedStrings.xml><?xml version="1.0" encoding="utf-8"?>
<sst xmlns="http://schemas.openxmlformats.org/spreadsheetml/2006/main" count="96" uniqueCount="22">
  <si>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</si>
  <si>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</si>
  <si>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</si>
  <si>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</si>
  <si>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</si>
  <si>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</si>
  <si>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</si>
  <si>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</si>
  <si>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</si>
  <si>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</si>
  <si>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</si>
  <si>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</si>
  <si>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</si>
  <si>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</si>
  <si>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</si>
  <si>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</si>
  <si>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</si>
  <si>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</si>
  <si>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</si>
  <si>
    <t>VIAGEM 06</t>
  </si>
  <si>
    <t>VIAGEM 07</t>
  </si>
  <si>
    <t>VIAGEM 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</si>
</sst>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6"/>
  <sheetViews>
    <sheetView tabSelected="1" workbookViewId="0">
      <selection activeCell="Q8" sqref="Q8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3.140625" bestFit="1" customWidth="1"/>
    <col min="13" max="13" width="13" customWidth="1"/>
    <col min="14" max="14" width="3" bestFit="1" customWidth="1"/>
    <col min="15" max="15" width="13" customWidth="1"/>
    <col min="16" max="16" width="3" bestFit="1" customWidth="1"/>
    <col min="17" max="17" width="13" customWidth="1"/>
    <col min="18" max="18" width="5.140625" customWidth="1"/>
    <col min="19" max="19" width="13" customWidth="1"/>
  </cols>
  <sheetData>
    <row r="1" spans="1:19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</row>
    <row r="2" spans="1:19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19</v>
      </c>
      <c r="N2" s="1" t="s">
        <v>2</v>
      </c>
      <c r="O2" s="1" t="s">
        <v>20</v>
      </c>
      <c r="P2" s="1" t="s">
        <v>2</v>
      </c>
      <c r="Q2" s="1" t="s">
        <v>21</v>
      </c>
      <c r="R2" s="1" t="s">
        <v>2</v>
      </c>
      <c r="S2" s="1" t="s">
        <v>6</v>
      </c>
    </row>
    <row r="3" spans="1:19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4">
        <v>2809.89</v>
      </c>
      <c r="N3" s="3" t="s">
        <v>2</v>
      </c>
      <c r="O3" s="4">
        <v>762.36</v>
      </c>
      <c r="P3" s="3" t="s">
        <v>2</v>
      </c>
      <c r="Q3" s="4">
        <v>1758.61</v>
      </c>
      <c r="R3" s="3" t="s">
        <v>2</v>
      </c>
      <c r="S3" s="5">
        <f>C3+E3+G3+I3+K3+M3+O3+Q3</f>
        <v>16385.28</v>
      </c>
    </row>
    <row r="4" spans="1:19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8">
        <v>1623.41</v>
      </c>
      <c r="N4" s="7" t="s">
        <v>2</v>
      </c>
      <c r="O4" s="8">
        <v>345.27</v>
      </c>
      <c r="P4" s="7" t="s">
        <v>2</v>
      </c>
      <c r="Q4" s="8">
        <v>323.7</v>
      </c>
      <c r="R4" s="7" t="s">
        <v>2</v>
      </c>
      <c r="S4" s="5">
        <f t="shared" ref="S4:S8" si="0">C4+E4+G4+I4+K4+M4+O4+Q4</f>
        <v>8161.0199999999995</v>
      </c>
    </row>
    <row r="5" spans="1:19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4">
        <v>238.74</v>
      </c>
      <c r="N5" s="3" t="s">
        <v>2</v>
      </c>
      <c r="O5" s="4">
        <v>53.98</v>
      </c>
      <c r="P5" s="3" t="s">
        <v>2</v>
      </c>
      <c r="Q5" s="4">
        <v>159.85</v>
      </c>
      <c r="R5" s="3" t="s">
        <v>2</v>
      </c>
      <c r="S5" s="5">
        <f t="shared" si="0"/>
        <v>1249.02</v>
      </c>
    </row>
    <row r="6" spans="1:19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431.45</v>
      </c>
      <c r="L6" s="7" t="s">
        <v>2</v>
      </c>
      <c r="M6" s="8">
        <v>2069.3200000000002</v>
      </c>
      <c r="N6" s="7" t="s">
        <v>2</v>
      </c>
      <c r="O6" s="8">
        <v>638.67999999999995</v>
      </c>
      <c r="P6" s="7" t="s">
        <v>2</v>
      </c>
      <c r="Q6" s="8">
        <v>259.04000000000002</v>
      </c>
      <c r="R6" s="7" t="s">
        <v>2</v>
      </c>
      <c r="S6" s="5">
        <f t="shared" si="0"/>
        <v>4384.2000000000007</v>
      </c>
    </row>
    <row r="7" spans="1:19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4">
        <v>1346</v>
      </c>
      <c r="N7" s="3" t="s">
        <v>2</v>
      </c>
      <c r="O7" s="4">
        <v>0</v>
      </c>
      <c r="P7" s="3" t="s">
        <v>2</v>
      </c>
      <c r="Q7" s="4">
        <v>686</v>
      </c>
      <c r="R7" s="3" t="s">
        <v>2</v>
      </c>
      <c r="S7" s="5">
        <f t="shared" si="0"/>
        <v>9389.7900000000009</v>
      </c>
    </row>
    <row r="8" spans="1:19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8">
        <v>600</v>
      </c>
      <c r="N8" s="7" t="s">
        <v>2</v>
      </c>
      <c r="O8" s="8">
        <v>0</v>
      </c>
      <c r="P8" s="7" t="s">
        <v>2</v>
      </c>
      <c r="Q8" s="8">
        <v>600</v>
      </c>
      <c r="R8" s="7" t="s">
        <v>2</v>
      </c>
      <c r="S8" s="5">
        <f t="shared" si="0"/>
        <v>3000</v>
      </c>
    </row>
    <row r="9" spans="1:19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9" t="s">
        <v>2</v>
      </c>
      <c r="I9" s="10">
        <f>SUM(I3:I8)</f>
        <v>6722.54</v>
      </c>
      <c r="J9" s="9" t="s">
        <v>2</v>
      </c>
      <c r="K9" s="10">
        <f>SUM(K3:K8)</f>
        <v>6475.76</v>
      </c>
      <c r="L9" s="9" t="s">
        <v>2</v>
      </c>
      <c r="M9" s="10">
        <f>SUM(M3:M8)</f>
        <v>8687.36</v>
      </c>
      <c r="N9" s="10"/>
      <c r="O9" s="10">
        <f>SUM(O3:O8)</f>
        <v>1800.29</v>
      </c>
      <c r="P9" s="10"/>
      <c r="Q9" s="10">
        <f>SUM(Q3:Q8)</f>
        <v>3787.2</v>
      </c>
      <c r="R9" s="9" t="s">
        <v>2</v>
      </c>
      <c r="S9" s="10">
        <f>C9+E9+G9+I9+K9+M9</f>
        <v>36981.82</v>
      </c>
    </row>
    <row r="10" spans="1:19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v>18</v>
      </c>
      <c r="N10" s="1"/>
      <c r="O10" s="1">
        <v>5</v>
      </c>
      <c r="P10" s="1"/>
      <c r="Q10" s="1">
        <v>15</v>
      </c>
      <c r="R10" s="1"/>
      <c r="S10" s="1">
        <f>C10+E10+G10+I10+K10+M10+O10+Q10</f>
        <v>103</v>
      </c>
    </row>
    <row r="11" spans="1:19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>
        <f>IF(K10&gt;0,K9/K10,0)</f>
        <v>431.71733333333333</v>
      </c>
      <c r="L11" s="12"/>
      <c r="M11" s="12">
        <f>IF(M10&gt;0,M9/M10,0)</f>
        <v>482.63111111111112</v>
      </c>
      <c r="N11" s="12"/>
      <c r="O11" s="12">
        <f>IF(O10&gt;0,O9/O10,0)</f>
        <v>360.05799999999999</v>
      </c>
      <c r="P11" s="12"/>
      <c r="Q11" s="12">
        <f>IF(Q10&gt;0,Q9/Q10,0)</f>
        <v>252.48</v>
      </c>
      <c r="R11" s="1"/>
      <c r="S11" s="12">
        <f>IF(S10&gt;0,S9/S10,0)</f>
        <v>359.04679611650488</v>
      </c>
    </row>
    <row r="12" spans="1:19" ht="6" customHeight="1" x14ac:dyDescent="0.25"/>
    <row r="13" spans="1:19" ht="6" customHeight="1" x14ac:dyDescent="0.25"/>
    <row r="14" spans="1:19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3">
        <f>S9</f>
        <v>36981.82</v>
      </c>
    </row>
    <row r="15" spans="1:19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4">
        <f>S10</f>
        <v>103</v>
      </c>
    </row>
    <row r="16" spans="1:19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3">
        <f>S14/S15</f>
        <v>359.04679611650488</v>
      </c>
    </row>
  </sheetData>
  <mergeCells count="1">
    <mergeCell ref="A1:S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2026-06-18T15:36:11Z</dcterms:modified>
</cp:coreProperties>
</file>