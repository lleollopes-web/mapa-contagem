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F8DA8309-B630-43A8-9796-E69E11779E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K15" i="1"/>
  <c r="G9" i="1"/>
  <c r="G11" i="1" s="1"/>
  <c r="E9" i="1"/>
  <c r="E11" i="1" s="1"/>
  <c r="C9" i="1"/>
  <c r="C11" i="1" s="1"/>
  <c r="K8" i="1"/>
  <c r="K7" i="1"/>
  <c r="K6" i="1"/>
  <c r="K5" i="1"/>
  <c r="K4" i="1"/>
  <c r="K3" i="1"/>
  <c r="K9" i="1" l="1"/>
  <c r="K14" i="1" s="1"/>
  <c r="K16" i="1" s="1"/>
</calcChain>
</file>

<file path=xl/sharedStrings.xml><?xml version="1.0" encoding="utf-8"?>
<sst xmlns="http://schemas.openxmlformats.org/spreadsheetml/2006/main" count="61" uniqueCount="18">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</sst>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4" fontId="4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I6" sqref="I6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5" customWidth="1"/>
    <col min="11" max="11" width="13" customWidth="1"/>
  </cols>
  <sheetData>
    <row r="1" spans="1:11" ht="27.95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6</v>
      </c>
    </row>
    <row r="3" spans="1:1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445.05</v>
      </c>
      <c r="J3" s="3" t="s">
        <v>2</v>
      </c>
      <c r="K3" s="5">
        <f t="shared" ref="K3:K8" si="0">C3+E3+G3</f>
        <v>6176.83</v>
      </c>
    </row>
    <row r="4" spans="1:1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83</v>
      </c>
      <c r="J4" s="7" t="s">
        <v>2</v>
      </c>
      <c r="K4" s="9">
        <f t="shared" si="0"/>
        <v>3476.4399999999996</v>
      </c>
    </row>
    <row r="5" spans="1:1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0</v>
      </c>
      <c r="J5" s="3" t="s">
        <v>2</v>
      </c>
      <c r="K5" s="5">
        <f t="shared" si="0"/>
        <v>384.52</v>
      </c>
    </row>
    <row r="6" spans="1:1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48</v>
      </c>
      <c r="J6" s="7" t="s">
        <v>2</v>
      </c>
      <c r="K6" s="9">
        <f t="shared" si="0"/>
        <v>560.58000000000004</v>
      </c>
    </row>
    <row r="7" spans="1:1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0</v>
      </c>
      <c r="J7" s="3" t="s">
        <v>2</v>
      </c>
      <c r="K7" s="5">
        <f t="shared" si="0"/>
        <v>3897.79</v>
      </c>
    </row>
    <row r="8" spans="1:11" ht="18" customHeight="1" x14ac:dyDescent="0.25">
      <c r="A8" s="6" t="s">
        <v>12</v>
      </c>
      <c r="B8" s="7" t="s">
        <v>2</v>
      </c>
      <c r="C8" s="8"/>
      <c r="D8" s="7" t="s">
        <v>2</v>
      </c>
      <c r="E8" s="8"/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9">
        <f t="shared" si="0"/>
        <v>600</v>
      </c>
    </row>
    <row r="9" spans="1:11" ht="21.95" customHeight="1" x14ac:dyDescent="0.25">
      <c r="A9" s="10" t="s">
        <v>6</v>
      </c>
      <c r="B9" s="10" t="s">
        <v>2</v>
      </c>
      <c r="C9" s="11">
        <f>SUM(C3:C8)</f>
        <v>5900</v>
      </c>
      <c r="D9" s="10" t="s">
        <v>2</v>
      </c>
      <c r="E9" s="11">
        <f>SUM(E3:E8)</f>
        <v>3200</v>
      </c>
      <c r="F9" s="10" t="s">
        <v>2</v>
      </c>
      <c r="G9" s="11">
        <f>SUM(G3:G8)</f>
        <v>5996.16</v>
      </c>
      <c r="H9" s="11"/>
      <c r="I9" s="11">
        <f>SUM(I3:I8)</f>
        <v>1176.05</v>
      </c>
      <c r="J9" s="10" t="s">
        <v>2</v>
      </c>
      <c r="K9" s="11">
        <f>C9+E9+G9+I9</f>
        <v>16272.21</v>
      </c>
    </row>
    <row r="10" spans="1:11" ht="20.100000000000001" customHeight="1" x14ac:dyDescent="0.25">
      <c r="A10" s="12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50</v>
      </c>
    </row>
    <row r="11" spans="1:11" ht="20.100000000000001" customHeight="1" x14ac:dyDescent="0.25">
      <c r="A11" s="12" t="s">
        <v>14</v>
      </c>
      <c r="B11" s="12" t="s">
        <v>2</v>
      </c>
      <c r="C11" s="13">
        <f>IF(C10&gt;0,C9/C10,0)</f>
        <v>393.33333333333331</v>
      </c>
      <c r="D11" s="12" t="s">
        <v>2</v>
      </c>
      <c r="E11" s="13">
        <f>IF(E10&gt;0,E9/E10,0)</f>
        <v>640</v>
      </c>
      <c r="F11" s="12" t="s">
        <v>2</v>
      </c>
      <c r="G11" s="13">
        <f>IF(G10&gt;0,G9/G10,0)</f>
        <v>399.74399999999997</v>
      </c>
      <c r="H11" s="13"/>
      <c r="I11" s="13"/>
      <c r="J11" s="1"/>
      <c r="K11" s="1"/>
    </row>
    <row r="12" spans="1:11" ht="6" customHeight="1" x14ac:dyDescent="0.25"/>
    <row r="13" spans="1:11" ht="6" customHeight="1" x14ac:dyDescent="0.25"/>
    <row r="14" spans="1:11" ht="21.95" customHeight="1" x14ac:dyDescent="0.25">
      <c r="A14" s="12" t="s">
        <v>6</v>
      </c>
      <c r="B14" s="12"/>
      <c r="C14" s="12"/>
      <c r="D14" s="12"/>
      <c r="E14" s="12"/>
      <c r="F14" s="12"/>
      <c r="G14" s="12"/>
      <c r="H14" s="12"/>
      <c r="I14" s="12"/>
      <c r="J14" s="12"/>
      <c r="K14" s="14">
        <f>K9</f>
        <v>16272.21</v>
      </c>
    </row>
    <row r="15" spans="1:11" ht="21.95" customHeight="1" x14ac:dyDescent="0.25">
      <c r="A15" s="12" t="s">
        <v>15</v>
      </c>
      <c r="B15" s="12"/>
      <c r="C15" s="12"/>
      <c r="D15" s="12"/>
      <c r="E15" s="12"/>
      <c r="F15" s="12"/>
      <c r="G15" s="12"/>
      <c r="H15" s="12"/>
      <c r="I15" s="12"/>
      <c r="J15" s="12"/>
      <c r="K15" s="15">
        <f>K10</f>
        <v>50</v>
      </c>
    </row>
    <row r="16" spans="1:11" ht="21.95" customHeight="1" x14ac:dyDescent="0.25">
      <c r="A16" s="12" t="s">
        <v>16</v>
      </c>
      <c r="B16" s="12"/>
      <c r="C16" s="12"/>
      <c r="D16" s="12"/>
      <c r="E16" s="12"/>
      <c r="F16" s="12"/>
      <c r="G16" s="12"/>
      <c r="H16" s="12"/>
      <c r="I16" s="12"/>
      <c r="J16" s="12"/>
      <c r="K16" s="14">
        <f>K14/K15</f>
        <v>325.44419999999997</v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2026-04-27T16:39:12Z</dcterms:modified>
</cp:coreProperties>
</file>