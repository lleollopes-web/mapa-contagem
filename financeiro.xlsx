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94AF624F-2910-4C94-B1FB-5DE9EE0CD04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Q10" i="1"/>
  <c r="M9" i="1"/>
  <c r="K9" i="1"/>
  <c r="Q4" i="1"/>
  <c r="Q5" i="1"/>
  <c r="Q6" i="1"/>
  <c r="Q7" i="1"/>
  <c r="Q8" i="1"/>
  <c r="Q3" i="1"/>
  <c r="I9" i="1"/>
  <c r="G9" i="1"/>
  <c r="G11" i="1" s="1"/>
  <c r="E9" i="1"/>
  <c r="E11" i="1" s="1"/>
  <c r="C9" i="1"/>
  <c r="C11" i="1" s="1"/>
  <c r="O11" i="1" l="1"/>
  <c r="K11" i="1"/>
  <c r="M11" i="1"/>
  <c r="Q9" i="1"/>
  <c r="I11" i="1"/>
  <c r="Q15" i="1"/>
  <c r="Q11" i="1" l="1"/>
  <c r="Q14" i="1"/>
  <c r="Q16" i="1" s="1"/>
</calcChain>
</file>

<file path=xl/sharedStrings.xml><?xml version="1.0" encoding="utf-8"?>
<sst xmlns="http://schemas.openxmlformats.org/spreadsheetml/2006/main" count="88" uniqueCount="21">
  <si>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</si>
  <si>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</si>
  <si>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</si>
  <si>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</si>
  <si>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</si>
  <si>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</si>
  <si>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</si>
  <si>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</si>
  <si>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</si>
  <si>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</si>
  <si>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</si>
  <si>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</si>
  <si>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</si>
  <si>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</si>
  <si>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</si>
  <si>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</si>
  <si>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</si>
  <si>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</si>
  <si>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</si>
  <si>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</si>
  <si>
    <t>VIAGEM 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</si>
</sst>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6"/>
  <sheetViews>
    <sheetView tabSelected="1" workbookViewId="0">
      <selection activeCell="O9" sqref="O9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3" bestFit="1" customWidth="1"/>
    <col min="15" max="15" width="13" customWidth="1"/>
    <col min="16" max="16" width="5.140625" customWidth="1"/>
    <col min="17" max="17" width="13" customWidth="1"/>
  </cols>
  <sheetData>
    <row r="1" spans="1:17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</row>
    <row r="2" spans="1:17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20</v>
      </c>
      <c r="P2" s="1" t="s">
        <v>2</v>
      </c>
      <c r="Q2" s="1" t="s">
        <v>6</v>
      </c>
    </row>
    <row r="3" spans="1:17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2809.89</v>
      </c>
      <c r="N3" s="3" t="s">
        <v>2</v>
      </c>
      <c r="O3" s="4">
        <v>200</v>
      </c>
      <c r="P3" s="3" t="s">
        <v>2</v>
      </c>
      <c r="Q3" s="5">
        <f>C3+E3+G3+I3</f>
        <v>8973.93</v>
      </c>
    </row>
    <row r="4" spans="1:17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1623.41</v>
      </c>
      <c r="N4" s="7" t="s">
        <v>2</v>
      </c>
      <c r="O4" s="8">
        <v>247.27</v>
      </c>
      <c r="P4" s="7" t="s">
        <v>2</v>
      </c>
      <c r="Q4" s="5">
        <f t="shared" ref="Q4:Q8" si="0">C4+E4+G4+I4</f>
        <v>4664.8799999999992</v>
      </c>
    </row>
    <row r="5" spans="1:17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238.74</v>
      </c>
      <c r="N5" s="3" t="s">
        <v>2</v>
      </c>
      <c r="O5" s="4">
        <v>0</v>
      </c>
      <c r="P5" s="3" t="s">
        <v>2</v>
      </c>
      <c r="Q5" s="5">
        <f t="shared" si="0"/>
        <v>566.39</v>
      </c>
    </row>
    <row r="6" spans="1:17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2069.3200000000002</v>
      </c>
      <c r="N6" s="7" t="s">
        <v>2</v>
      </c>
      <c r="O6" s="8">
        <v>33.700000000000003</v>
      </c>
      <c r="P6" s="7" t="s">
        <v>2</v>
      </c>
      <c r="Q6" s="5">
        <f t="shared" si="0"/>
        <v>985.71</v>
      </c>
    </row>
    <row r="7" spans="1:17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1346</v>
      </c>
      <c r="N7" s="3" t="s">
        <v>2</v>
      </c>
      <c r="O7" s="4">
        <v>0</v>
      </c>
      <c r="P7" s="3" t="s">
        <v>2</v>
      </c>
      <c r="Q7" s="5">
        <f t="shared" si="0"/>
        <v>5427.79</v>
      </c>
    </row>
    <row r="8" spans="1:17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8">
        <v>0</v>
      </c>
      <c r="P8" s="7" t="s">
        <v>2</v>
      </c>
      <c r="Q8" s="5">
        <f t="shared" si="0"/>
        <v>1200</v>
      </c>
    </row>
    <row r="9" spans="1:17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8687.36</v>
      </c>
      <c r="N9" s="10"/>
      <c r="O9" s="10">
        <f>SUM(O3:O8)</f>
        <v>480.96999999999997</v>
      </c>
      <c r="P9" s="9" t="s">
        <v>2</v>
      </c>
      <c r="Q9" s="10">
        <f>C9+E9+G9+I9+K9+M9</f>
        <v>36981.82</v>
      </c>
    </row>
    <row r="10" spans="1:17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18</v>
      </c>
      <c r="N10" s="1"/>
      <c r="O10" s="1">
        <v>5</v>
      </c>
      <c r="P10" s="1"/>
      <c r="Q10" s="1">
        <f>C10+E10+G10+I10+K10+M10</f>
        <v>83</v>
      </c>
    </row>
    <row r="11" spans="1:17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482.63111111111112</v>
      </c>
      <c r="N11" s="12"/>
      <c r="O11" s="12">
        <f>IF(O10&gt;0,O9/O10,0)</f>
        <v>96.193999999999988</v>
      </c>
      <c r="P11" s="1"/>
      <c r="Q11" s="12">
        <f>IF(Q10&gt;0,Q9/Q10,0)</f>
        <v>445.56409638554214</v>
      </c>
    </row>
    <row r="12" spans="1:17" ht="6" customHeight="1" x14ac:dyDescent="0.25"/>
    <row r="13" spans="1:17" ht="6" customHeight="1" x14ac:dyDescent="0.25"/>
    <row r="14" spans="1:17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3">
        <f>Q9</f>
        <v>36981.82</v>
      </c>
    </row>
    <row r="15" spans="1:17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4">
        <f>Q10</f>
        <v>83</v>
      </c>
    </row>
    <row r="16" spans="1:17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3">
        <f>Q14/Q15</f>
        <v>445.56409638554214</v>
      </c>
    </row>
  </sheetData>
  <mergeCells count="1"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2026-06-10T16:42:00Z</dcterms:modified>
</cp:coreProperties>
</file>