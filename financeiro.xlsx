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ISTEMAS DESENVOLVIDOS POR LEANDRO\5- MAPA CONTAGEM PDR\"/>
    </mc:Choice>
  </mc:AlternateContent>
  <xr:revisionPtr revIDLastSave="0" documentId="13_ncr:1_{598AF480-0FC2-4B79-A2C0-3942FA225E9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trole de Gas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O10" i="1"/>
  <c r="M9" i="1"/>
  <c r="K9" i="1"/>
  <c r="O4" i="1"/>
  <c r="O5" i="1"/>
  <c r="O6" i="1"/>
  <c r="O7" i="1"/>
  <c r="O8" i="1"/>
  <c r="O3" i="1"/>
  <c r="I9" i="1"/>
  <c r="G9" i="1"/>
  <c r="G11" i="1" s="1"/>
  <c r="E9" i="1"/>
  <c r="E11" i="1" s="1"/>
  <c r="C9" i="1"/>
  <c r="C11" i="1" s="1"/>
  <c r="M11" i="1" l="1"/>
  <c r="O9" i="1"/>
  <c r="I11" i="1"/>
  <c r="O15" i="1"/>
  <c r="O11" i="1" l="1"/>
  <c r="O14" i="1"/>
  <c r="O16" i="1" s="1"/>
</calcChain>
</file>

<file path=xl/sharedStrings.xml><?xml version="1.0" encoding="utf-8"?>
<sst xmlns="http://schemas.openxmlformats.org/spreadsheetml/2006/main" count="80" uniqueCount="20">
  <si>
    <t>CONTROLE DE GASTOS</t>
  </si>
  <si>
    <t>TIPO DE GASTOS</t>
  </si>
  <si>
    <t>R$</t>
  </si>
  <si>
    <t>VIAGEM 01</t>
  </si>
  <si>
    <t>VIAGEM 02</t>
  </si>
  <si>
    <t>VIAGEM 03</t>
  </si>
  <si>
    <t>TOTAL</t>
  </si>
  <si>
    <t>COMBUSTÍVEL</t>
  </si>
  <si>
    <t>ALIMENTAÇÃO VIAGEM</t>
  </si>
  <si>
    <t>ÁGUA</t>
  </si>
  <si>
    <t>OUTROS</t>
  </si>
  <si>
    <t>HOSPEDAGEM</t>
  </si>
  <si>
    <t>SERVIÇOS DE TERCEIROS</t>
  </si>
  <si>
    <t>QTD DE PONTOS</t>
  </si>
  <si>
    <t>CUSTO POR PONTO</t>
  </si>
  <si>
    <t>TOTAL DE PONTOS CONCLUÍDOS</t>
  </si>
  <si>
    <t>CUSTO POR PONTO CONCLUÍDO</t>
  </si>
  <si>
    <t>VIAGEM 04</t>
  </si>
  <si>
    <t>VIAGEM 05</t>
  </si>
  <si>
    <t>VIAGEM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</si>
</sst>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2185B"/>
      </patternFill>
    </fill>
    <fill>
      <patternFill patternType="solid">
        <fgColor rgb="FFF8BBD9"/>
      </patternFill>
    </fill>
    <fill>
      <patternFill patternType="solid">
        <fgColor rgb="FFFFFFFF"/>
      </patternFill>
    </fill>
    <fill>
      <patternFill patternType="solid">
        <fgColor rgb="FFF9F0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M7" sqref="M7"/>
    </sheetView>
  </sheetViews>
  <sheetFormatPr defaultRowHeight="15" x14ac:dyDescent="0.25"/>
  <cols>
    <col min="1" max="1" width="28" customWidth="1"/>
    <col min="2" max="2" width="3.140625" bestFit="1" customWidth="1"/>
    <col min="3" max="3" width="13" customWidth="1"/>
    <col min="4" max="4" width="3.140625" bestFit="1" customWidth="1"/>
    <col min="5" max="5" width="13" customWidth="1"/>
    <col min="6" max="6" width="3.140625" bestFit="1" customWidth="1"/>
    <col min="7" max="7" width="13" customWidth="1"/>
    <col min="8" max="8" width="3" bestFit="1" customWidth="1"/>
    <col min="9" max="9" width="13" customWidth="1"/>
    <col min="10" max="10" width="3" bestFit="1" customWidth="1"/>
    <col min="11" max="11" width="13" customWidth="1"/>
    <col min="12" max="12" width="3.140625" bestFit="1" customWidth="1"/>
    <col min="13" max="13" width="13" customWidth="1"/>
    <col min="14" max="14" width="5" customWidth="1"/>
    <col min="15" max="15" width="13" customWidth="1"/>
  </cols>
  <sheetData>
    <row r="1" spans="1:15" ht="27.9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21.95" customHeight="1" x14ac:dyDescent="0.25">
      <c r="A2" s="1" t="s">
        <v>1</v>
      </c>
      <c r="B2" s="1" t="s">
        <v>2</v>
      </c>
      <c r="C2" s="1" t="s">
        <v>3</v>
      </c>
      <c r="D2" s="1" t="s">
        <v>2</v>
      </c>
      <c r="E2" s="1" t="s">
        <v>4</v>
      </c>
      <c r="F2" s="1" t="s">
        <v>2</v>
      </c>
      <c r="G2" s="1" t="s">
        <v>5</v>
      </c>
      <c r="H2" s="1" t="s">
        <v>2</v>
      </c>
      <c r="I2" s="1" t="s">
        <v>17</v>
      </c>
      <c r="J2" s="1" t="s">
        <v>2</v>
      </c>
      <c r="K2" s="1" t="s">
        <v>18</v>
      </c>
      <c r="L2" s="1" t="s">
        <v>2</v>
      </c>
      <c r="M2" s="1" t="s">
        <v>19</v>
      </c>
      <c r="N2" s="1" t="s">
        <v>2</v>
      </c>
      <c r="O2" s="1" t="s">
        <v>6</v>
      </c>
    </row>
    <row r="3" spans="1:15" ht="18" customHeight="1" x14ac:dyDescent="0.25">
      <c r="A3" s="2" t="s">
        <v>7</v>
      </c>
      <c r="B3" s="3" t="s">
        <v>2</v>
      </c>
      <c r="C3" s="4">
        <v>2517.96</v>
      </c>
      <c r="D3" s="3" t="s">
        <v>2</v>
      </c>
      <c r="E3" s="4">
        <v>1619.41</v>
      </c>
      <c r="F3" s="3" t="s">
        <v>2</v>
      </c>
      <c r="G3" s="4">
        <v>2039.46</v>
      </c>
      <c r="H3" s="3" t="s">
        <v>2</v>
      </c>
      <c r="I3" s="4">
        <v>2797.1</v>
      </c>
      <c r="J3" s="3" t="s">
        <v>2</v>
      </c>
      <c r="K3" s="4">
        <v>2080.4899999999998</v>
      </c>
      <c r="L3" s="3" t="s">
        <v>2</v>
      </c>
      <c r="M3" s="4">
        <v>2809.89</v>
      </c>
      <c r="N3" s="3" t="s">
        <v>2</v>
      </c>
      <c r="O3" s="5">
        <f>C3+E3+G3+I3</f>
        <v>8973.93</v>
      </c>
    </row>
    <row r="4" spans="1:15" ht="18" customHeight="1" x14ac:dyDescent="0.25">
      <c r="A4" s="6" t="s">
        <v>8</v>
      </c>
      <c r="B4" s="7" t="s">
        <v>2</v>
      </c>
      <c r="C4" s="8">
        <v>1436.76</v>
      </c>
      <c r="D4" s="7" t="s">
        <v>2</v>
      </c>
      <c r="E4" s="8">
        <v>771.82</v>
      </c>
      <c r="F4" s="7" t="s">
        <v>2</v>
      </c>
      <c r="G4" s="8">
        <v>1267.8599999999999</v>
      </c>
      <c r="H4" s="7" t="s">
        <v>2</v>
      </c>
      <c r="I4" s="8">
        <v>1188.44</v>
      </c>
      <c r="J4" s="7" t="s">
        <v>2</v>
      </c>
      <c r="K4" s="8">
        <v>1203.76</v>
      </c>
      <c r="L4" s="7" t="s">
        <v>2</v>
      </c>
      <c r="M4" s="8">
        <v>1623.41</v>
      </c>
      <c r="N4" s="7" t="s">
        <v>2</v>
      </c>
      <c r="O4" s="5">
        <f t="shared" ref="O4:O8" si="0">C4+E4+G4+I4</f>
        <v>4664.8799999999992</v>
      </c>
    </row>
    <row r="5" spans="1:15" ht="18" customHeight="1" x14ac:dyDescent="0.25">
      <c r="A5" s="2" t="s">
        <v>9</v>
      </c>
      <c r="B5" s="3" t="s">
        <v>2</v>
      </c>
      <c r="C5" s="4">
        <v>181.28</v>
      </c>
      <c r="D5" s="3" t="s">
        <v>2</v>
      </c>
      <c r="E5" s="4">
        <v>13.98</v>
      </c>
      <c r="F5" s="3" t="s">
        <v>2</v>
      </c>
      <c r="G5" s="4">
        <v>189.26</v>
      </c>
      <c r="H5" s="3" t="s">
        <v>2</v>
      </c>
      <c r="I5" s="4">
        <v>181.87</v>
      </c>
      <c r="J5" s="3" t="s">
        <v>2</v>
      </c>
      <c r="K5" s="4">
        <v>230.06</v>
      </c>
      <c r="L5" s="3" t="s">
        <v>2</v>
      </c>
      <c r="M5" s="4">
        <v>238.74</v>
      </c>
      <c r="N5" s="3" t="s">
        <v>2</v>
      </c>
      <c r="O5" s="5">
        <f t="shared" si="0"/>
        <v>566.39</v>
      </c>
    </row>
    <row r="6" spans="1:15" ht="18" customHeight="1" x14ac:dyDescent="0.25">
      <c r="A6" s="6" t="s">
        <v>10</v>
      </c>
      <c r="B6" s="7" t="s">
        <v>2</v>
      </c>
      <c r="C6" s="8">
        <v>324</v>
      </c>
      <c r="D6" s="7" t="s">
        <v>2</v>
      </c>
      <c r="E6" s="8">
        <v>68</v>
      </c>
      <c r="F6" s="7" t="s">
        <v>2</v>
      </c>
      <c r="G6" s="8">
        <v>168.58</v>
      </c>
      <c r="H6" s="7" t="s">
        <v>2</v>
      </c>
      <c r="I6" s="8">
        <v>425.13</v>
      </c>
      <c r="J6" s="7" t="s">
        <v>2</v>
      </c>
      <c r="K6" s="8">
        <v>431.45</v>
      </c>
      <c r="L6" s="7" t="s">
        <v>2</v>
      </c>
      <c r="M6" s="8">
        <v>2069.3200000000002</v>
      </c>
      <c r="N6" s="7" t="s">
        <v>2</v>
      </c>
      <c r="O6" s="5">
        <f t="shared" si="0"/>
        <v>985.71</v>
      </c>
    </row>
    <row r="7" spans="1:15" ht="18" customHeight="1" x14ac:dyDescent="0.25">
      <c r="A7" s="2" t="s">
        <v>11</v>
      </c>
      <c r="B7" s="3" t="s">
        <v>2</v>
      </c>
      <c r="C7" s="4">
        <v>1440</v>
      </c>
      <c r="D7" s="3" t="s">
        <v>2</v>
      </c>
      <c r="E7" s="4">
        <v>726.79</v>
      </c>
      <c r="F7" s="3" t="s">
        <v>2</v>
      </c>
      <c r="G7" s="4">
        <v>1731</v>
      </c>
      <c r="H7" s="3" t="s">
        <v>2</v>
      </c>
      <c r="I7" s="4">
        <v>1530</v>
      </c>
      <c r="J7" s="3" t="s">
        <v>2</v>
      </c>
      <c r="K7" s="4">
        <v>1930</v>
      </c>
      <c r="L7" s="3" t="s">
        <v>2</v>
      </c>
      <c r="M7" s="4">
        <v>1346</v>
      </c>
      <c r="N7" s="3" t="s">
        <v>2</v>
      </c>
      <c r="O7" s="5">
        <f t="shared" si="0"/>
        <v>5427.79</v>
      </c>
    </row>
    <row r="8" spans="1:15" ht="18" customHeight="1" x14ac:dyDescent="0.25">
      <c r="A8" s="6" t="s">
        <v>12</v>
      </c>
      <c r="B8" s="7" t="s">
        <v>2</v>
      </c>
      <c r="C8" s="8">
        <v>0</v>
      </c>
      <c r="D8" s="7" t="s">
        <v>2</v>
      </c>
      <c r="E8" s="8">
        <v>0</v>
      </c>
      <c r="F8" s="7" t="s">
        <v>2</v>
      </c>
      <c r="G8" s="8">
        <v>600</v>
      </c>
      <c r="H8" s="7" t="s">
        <v>2</v>
      </c>
      <c r="I8" s="8">
        <v>600</v>
      </c>
      <c r="J8" s="7" t="s">
        <v>2</v>
      </c>
      <c r="K8" s="8">
        <v>600</v>
      </c>
      <c r="L8" s="7" t="s">
        <v>2</v>
      </c>
      <c r="M8" s="8">
        <v>600</v>
      </c>
      <c r="N8" s="7" t="s">
        <v>2</v>
      </c>
      <c r="O8" s="5">
        <f t="shared" si="0"/>
        <v>1200</v>
      </c>
    </row>
    <row r="9" spans="1:15" ht="21.95" customHeight="1" x14ac:dyDescent="0.25">
      <c r="A9" s="9" t="s">
        <v>6</v>
      </c>
      <c r="B9" s="9" t="s">
        <v>2</v>
      </c>
      <c r="C9" s="10">
        <f>SUM(C3:C8)</f>
        <v>5900</v>
      </c>
      <c r="D9" s="9" t="s">
        <v>2</v>
      </c>
      <c r="E9" s="10">
        <f>SUM(E3:E8)</f>
        <v>3200</v>
      </c>
      <c r="F9" s="9" t="s">
        <v>2</v>
      </c>
      <c r="G9" s="10">
        <f>SUM(G3:G8)</f>
        <v>5996.16</v>
      </c>
      <c r="H9" s="9" t="s">
        <v>2</v>
      </c>
      <c r="I9" s="10">
        <f>SUM(I3:I8)</f>
        <v>6722.54</v>
      </c>
      <c r="J9" s="9" t="s">
        <v>2</v>
      </c>
      <c r="K9" s="10">
        <f>SUM(K3:K8)</f>
        <v>6475.76</v>
      </c>
      <c r="L9" s="9" t="s">
        <v>2</v>
      </c>
      <c r="M9" s="10">
        <f>SUM(M3:M8)</f>
        <v>8687.36</v>
      </c>
      <c r="N9" s="9" t="s">
        <v>2</v>
      </c>
      <c r="O9" s="10">
        <f>C9+E9+G9+I9+K9+M9</f>
        <v>36981.82</v>
      </c>
    </row>
    <row r="10" spans="1:15" ht="20.100000000000001" customHeight="1" x14ac:dyDescent="0.25">
      <c r="A10" s="11" t="s">
        <v>13</v>
      </c>
      <c r="B10" s="1"/>
      <c r="C10" s="1">
        <v>15</v>
      </c>
      <c r="D10" s="1"/>
      <c r="E10" s="1">
        <v>5</v>
      </c>
      <c r="F10" s="1"/>
      <c r="G10" s="1">
        <v>15</v>
      </c>
      <c r="H10" s="1"/>
      <c r="I10" s="1">
        <v>15</v>
      </c>
      <c r="J10" s="1"/>
      <c r="K10" s="1">
        <v>15</v>
      </c>
      <c r="L10" s="1"/>
      <c r="M10" s="1">
        <v>18</v>
      </c>
      <c r="N10" s="1"/>
      <c r="O10" s="1">
        <f>C10+E10+G10+I10+K10+M10</f>
        <v>83</v>
      </c>
    </row>
    <row r="11" spans="1:15" ht="20.100000000000001" customHeight="1" x14ac:dyDescent="0.25">
      <c r="A11" s="11" t="s">
        <v>14</v>
      </c>
      <c r="B11" s="11" t="s">
        <v>2</v>
      </c>
      <c r="C11" s="12">
        <f>IF(C10&gt;0,C9/C10,0)</f>
        <v>393.33333333333331</v>
      </c>
      <c r="D11" s="11" t="s">
        <v>2</v>
      </c>
      <c r="E11" s="12">
        <f>IF(E10&gt;0,E9/E10,0)</f>
        <v>640</v>
      </c>
      <c r="F11" s="11" t="s">
        <v>2</v>
      </c>
      <c r="G11" s="12">
        <f>IF(G10&gt;0,G9/G10,0)</f>
        <v>399.74399999999997</v>
      </c>
      <c r="H11" s="12"/>
      <c r="I11" s="12">
        <f>IF(I10&gt;0,I9/I10,0)</f>
        <v>448.16933333333333</v>
      </c>
      <c r="J11" s="12"/>
      <c r="K11" s="12">
        <f>IF(K10&gt;0,K9/K10,0)</f>
        <v>431.71733333333333</v>
      </c>
      <c r="L11" s="12"/>
      <c r="M11" s="12">
        <f>IF(M10&gt;0,M9/M10,0)</f>
        <v>482.63111111111112</v>
      </c>
      <c r="N11" s="1"/>
      <c r="O11" s="12">
        <f>IF(O10&gt;0,O9/O10,0)</f>
        <v>445.56409638554214</v>
      </c>
    </row>
    <row r="12" spans="1:15" ht="6" customHeight="1" x14ac:dyDescent="0.25"/>
    <row r="13" spans="1:15" ht="6" customHeight="1" x14ac:dyDescent="0.25"/>
    <row r="14" spans="1:15" ht="21.95" customHeight="1" x14ac:dyDescent="0.25">
      <c r="A14" s="11" t="s">
        <v>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3">
        <f>O9</f>
        <v>36981.82</v>
      </c>
    </row>
    <row r="15" spans="1:15" ht="21.95" customHeight="1" x14ac:dyDescent="0.25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4">
        <f>O10</f>
        <v>83</v>
      </c>
    </row>
    <row r="16" spans="1:15" ht="21.95" customHeight="1" x14ac:dyDescent="0.25">
      <c r="A16" s="11" t="s">
        <v>16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3">
        <f>O14/O15</f>
        <v>445.56409638554214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Rodrigues Lopes</cp:lastModifiedBy>
  <dcterms:created xsi:type="dcterms:W3CDTF">2026-04-21T00:45:56Z</dcterms:created>
  <dcterms:modified xsi:type="dcterms:W3CDTF">2026-06-08T15:57:45Z</dcterms:modified>
</cp:coreProperties>
</file>