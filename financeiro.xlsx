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D9DB86F6-3067-49A7-A3FB-F948561D65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U5" i="1"/>
  <c r="U6" i="1"/>
  <c r="U7" i="1"/>
  <c r="U8" i="1"/>
  <c r="U3" i="1"/>
  <c r="U10" i="1"/>
  <c r="S9" i="1"/>
  <c r="Q9" i="1"/>
  <c r="O9" i="1"/>
  <c r="M9" i="1"/>
  <c r="K9" i="1"/>
  <c r="I9" i="1"/>
  <c r="G9" i="1"/>
  <c r="G11" i="1" s="1"/>
  <c r="E9" i="1"/>
  <c r="E11" i="1" s="1"/>
  <c r="C9" i="1"/>
  <c r="C11" i="1" s="1"/>
  <c r="S11" i="1" l="1"/>
  <c r="U9" i="1"/>
  <c r="Q11" i="1"/>
  <c r="O11" i="1"/>
  <c r="K11" i="1"/>
  <c r="M11" i="1"/>
  <c r="I11" i="1"/>
  <c r="U15" i="1"/>
  <c r="U11" i="1" l="1"/>
  <c r="U14" i="1"/>
  <c r="U16" i="1" s="1"/>
</calcChain>
</file>

<file path=xl/sharedStrings.xml><?xml version="1.0" encoding="utf-8"?>
<sst xmlns="http://schemas.openxmlformats.org/spreadsheetml/2006/main" count="104" uniqueCount="23">
  <si>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</si>
  <si>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</si>
  <si>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</si>
  <si>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</si>
  <si>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</si>
  <si>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</si>
  <si>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</si>
  <si>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</si>
  <si>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</si>
  <si>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</si>
  <si>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</si>
  <si>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</si>
  <si>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</si>
  <si>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</si>
  <si>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</si>
  <si>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</si>
  <si>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</si>
  <si>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</si>
  <si>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</si>
  <si>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</si>
  <si>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</si>
  <si>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</si>
  <si>
    <t>VIAGEM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</si>
</sst>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selection activeCell="S4" sqref="S4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3" bestFit="1" customWidth="1"/>
    <col min="19" max="19" width="13" customWidth="1"/>
    <col min="20" max="20" width="5.140625" customWidth="1"/>
    <col min="21" max="21" width="13" customWidth="1"/>
  </cols>
  <sheetData>
    <row r="1" spans="1:2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22</v>
      </c>
      <c r="T2" s="1" t="s">
        <v>2</v>
      </c>
      <c r="U2" s="1" t="s">
        <v>6</v>
      </c>
    </row>
    <row r="3" spans="1:2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3656.99</v>
      </c>
      <c r="R3" s="3" t="s">
        <v>2</v>
      </c>
      <c r="S3" s="4">
        <v>3399.32</v>
      </c>
      <c r="T3" s="3" t="s">
        <v>2</v>
      </c>
      <c r="U3" s="5">
        <f>C3+E3+G3+I3+K3+M3+O3+Q3+S3</f>
        <v>21682.98</v>
      </c>
    </row>
    <row r="4" spans="1:2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1357.77</v>
      </c>
      <c r="R4" s="7" t="s">
        <v>2</v>
      </c>
      <c r="S4" s="8">
        <v>1197.6600000000001</v>
      </c>
      <c r="T4" s="7" t="s">
        <v>2</v>
      </c>
      <c r="U4" s="5">
        <f t="shared" ref="U4:U8" si="0">C4+E4+G4+I4+K4+M4+O4+Q4+S4</f>
        <v>10392.75</v>
      </c>
    </row>
    <row r="5" spans="1:2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4">
        <v>73.989999999999995</v>
      </c>
      <c r="T5" s="3" t="s">
        <v>2</v>
      </c>
      <c r="U5" s="5">
        <f t="shared" si="0"/>
        <v>1323.01</v>
      </c>
    </row>
    <row r="6" spans="1:2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605.30999999999995</v>
      </c>
      <c r="R6" s="7" t="s">
        <v>2</v>
      </c>
      <c r="S6" s="8">
        <v>867.32</v>
      </c>
      <c r="T6" s="7" t="s">
        <v>2</v>
      </c>
      <c r="U6" s="5">
        <f t="shared" si="0"/>
        <v>5597.7900000000009</v>
      </c>
    </row>
    <row r="7" spans="1:2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4">
        <v>1020</v>
      </c>
      <c r="T7" s="3" t="s">
        <v>2</v>
      </c>
      <c r="U7" s="5">
        <f t="shared" si="0"/>
        <v>11077.79</v>
      </c>
    </row>
    <row r="8" spans="1:21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8">
        <v>600</v>
      </c>
      <c r="T8" s="7" t="s">
        <v>2</v>
      </c>
      <c r="U8" s="5">
        <f t="shared" si="0"/>
        <v>3600</v>
      </c>
    </row>
    <row r="9" spans="1:2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7733.92</v>
      </c>
      <c r="R9" s="10"/>
      <c r="S9" s="10">
        <f>SUM(S3:S8)</f>
        <v>7158.29</v>
      </c>
      <c r="T9" s="9" t="s">
        <v>2</v>
      </c>
      <c r="U9" s="10">
        <f>C9+E9+G9+I9+K9+M9+O9+Q9+S9</f>
        <v>53674.32</v>
      </c>
    </row>
    <row r="10" spans="1:2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v>15</v>
      </c>
      <c r="T10" s="1"/>
      <c r="U10" s="1">
        <f>C10+E10+G10+I10+K10+M10+O10+Q10+S10</f>
        <v>121</v>
      </c>
    </row>
    <row r="11" spans="1:2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429.66222222222223</v>
      </c>
      <c r="R11" s="12"/>
      <c r="S11" s="12">
        <f>IF(S10&gt;0,S9/S10,0)</f>
        <v>477.21933333333334</v>
      </c>
      <c r="T11" s="1"/>
      <c r="U11" s="12">
        <f>IF(U10&gt;0,U9/U10,0)</f>
        <v>443.58942148760332</v>
      </c>
    </row>
    <row r="12" spans="1:21" ht="6" customHeight="1" x14ac:dyDescent="0.25"/>
    <row r="13" spans="1:21" ht="6" customHeight="1" x14ac:dyDescent="0.25"/>
    <row r="14" spans="1:2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3">
        <f>U9</f>
        <v>53674.32</v>
      </c>
    </row>
    <row r="15" spans="1:2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4">
        <f>U10</f>
        <v>121</v>
      </c>
    </row>
    <row r="16" spans="1:2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3">
        <f>U14/U15</f>
        <v>443.58942148760332</v>
      </c>
    </row>
  </sheetData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2026-07-07T14:14:59Z</dcterms:modified>
</cp:coreProperties>
</file>