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7CD07C78-A2C6-422F-87E4-771B0788F7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1" i="1" l="1"/>
  <c r="W10" i="1"/>
  <c r="W4" i="1"/>
  <c r="W5" i="1"/>
  <c r="W6" i="1"/>
  <c r="W7" i="1"/>
  <c r="W8" i="1"/>
  <c r="W3" i="1"/>
  <c r="U9" i="1"/>
  <c r="W9" i="1" s="1"/>
  <c r="S9" i="1"/>
  <c r="Q9" i="1"/>
  <c r="O9" i="1"/>
  <c r="M9" i="1"/>
  <c r="K9" i="1"/>
  <c r="I9" i="1"/>
  <c r="G9" i="1"/>
  <c r="G11" i="1" s="1"/>
  <c r="E9" i="1"/>
  <c r="E11" i="1" s="1"/>
  <c r="C9" i="1"/>
  <c r="C11" i="1" s="1"/>
  <c r="S11" i="1" l="1"/>
  <c r="Q11" i="1"/>
  <c r="O11" i="1"/>
  <c r="K11" i="1"/>
  <c r="M11" i="1"/>
  <c r="I11" i="1"/>
  <c r="W15" i="1"/>
  <c r="W11" i="1" l="1"/>
  <c r="W14" i="1"/>
  <c r="W16" i="1" s="1"/>
</calcChain>
</file>

<file path=xl/sharedStrings.xml><?xml version="1.0" encoding="utf-8"?>
<sst xmlns="http://schemas.openxmlformats.org/spreadsheetml/2006/main" count="116" uniqueCount="24">
  <si>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</si>
  <si>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</si>
  <si>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</si>
  <si>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</si>
  <si>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</si>
  <si>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</si>
  <si>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</si>
  <si>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</si>
  <si>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</si>
  <si>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</si>
  <si>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</si>
  <si>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</si>
  <si>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</si>
  <si>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</si>
  <si>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</si>
  <si>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</si>
  <si>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</si>
  <si>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</si>
  <si>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</si>
  <si>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</si>
  <si>
    <t>VIAGEM 07</t>
  </si>
  <si>
    <t>VIAGEM 08</t>
  </si>
  <si>
    <t>VIAGEM 09</t>
  </si>
  <si>
    <t>VIAGEM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</si>
</sst>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"/>
  <sheetViews>
    <sheetView tabSelected="1" workbookViewId="0">
      <selection activeCell="Y14" sqref="Y14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3" bestFit="1" customWidth="1"/>
    <col min="15" max="15" width="13" customWidth="1"/>
    <col min="16" max="16" width="3" bestFit="1" customWidth="1"/>
    <col min="17" max="17" width="13" customWidth="1"/>
    <col min="18" max="18" width="3" bestFit="1" customWidth="1"/>
    <col min="19" max="19" width="13" customWidth="1"/>
    <col min="20" max="20" width="3.140625" bestFit="1" customWidth="1"/>
    <col min="21" max="21" width="13" customWidth="1"/>
    <col min="22" max="22" width="5.140625" customWidth="1"/>
    <col min="23" max="23" width="13" customWidth="1"/>
  </cols>
  <sheetData>
    <row r="1" spans="1:23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20</v>
      </c>
      <c r="P2" s="1" t="s">
        <v>2</v>
      </c>
      <c r="Q2" s="1" t="s">
        <v>21</v>
      </c>
      <c r="R2" s="1" t="s">
        <v>2</v>
      </c>
      <c r="S2" s="1" t="s">
        <v>22</v>
      </c>
      <c r="T2" s="1" t="s">
        <v>2</v>
      </c>
      <c r="U2" s="1" t="s">
        <v>23</v>
      </c>
      <c r="V2" s="1" t="s">
        <v>2</v>
      </c>
      <c r="W2" s="1" t="s">
        <v>6</v>
      </c>
    </row>
    <row r="3" spans="1:23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4">
        <v>762.36</v>
      </c>
      <c r="P3" s="3" t="s">
        <v>2</v>
      </c>
      <c r="Q3" s="4">
        <v>3656.99</v>
      </c>
      <c r="R3" s="3" t="s">
        <v>2</v>
      </c>
      <c r="S3" s="4">
        <v>3181.24</v>
      </c>
      <c r="T3" s="3" t="s">
        <v>2</v>
      </c>
      <c r="U3" s="4">
        <v>1302.67</v>
      </c>
      <c r="V3" s="3" t="s">
        <v>2</v>
      </c>
      <c r="W3" s="5">
        <f>C3+E3+G3+I3+K3+M3+O3+Q3+S3+U3</f>
        <v>22767.57</v>
      </c>
    </row>
    <row r="4" spans="1:23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1623.41</v>
      </c>
      <c r="N4" s="7" t="s">
        <v>2</v>
      </c>
      <c r="O4" s="8">
        <v>345.27</v>
      </c>
      <c r="P4" s="7" t="s">
        <v>2</v>
      </c>
      <c r="Q4" s="8">
        <v>1357.77</v>
      </c>
      <c r="R4" s="7" t="s">
        <v>2</v>
      </c>
      <c r="S4" s="8">
        <v>1523.76</v>
      </c>
      <c r="T4" s="7" t="s">
        <v>2</v>
      </c>
      <c r="U4" s="8">
        <v>1215.8</v>
      </c>
      <c r="V4" s="7" t="s">
        <v>2</v>
      </c>
      <c r="W4" s="5">
        <f t="shared" ref="W4:W10" si="0">C4+E4+G4+I4+K4+M4+O4+Q4+S4+U4</f>
        <v>11934.65</v>
      </c>
    </row>
    <row r="5" spans="1:23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238.74</v>
      </c>
      <c r="N5" s="3" t="s">
        <v>2</v>
      </c>
      <c r="O5" s="4">
        <v>53.98</v>
      </c>
      <c r="P5" s="3" t="s">
        <v>2</v>
      </c>
      <c r="Q5" s="4">
        <v>159.85</v>
      </c>
      <c r="R5" s="3" t="s">
        <v>2</v>
      </c>
      <c r="S5" s="4">
        <v>73.989999999999995</v>
      </c>
      <c r="T5" s="3" t="s">
        <v>2</v>
      </c>
      <c r="U5" s="4">
        <v>178.76</v>
      </c>
      <c r="V5" s="3" t="s">
        <v>2</v>
      </c>
      <c r="W5" s="5">
        <f t="shared" si="0"/>
        <v>1501.77</v>
      </c>
    </row>
    <row r="6" spans="1:23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8">
        <v>638.67999999999995</v>
      </c>
      <c r="P6" s="7" t="s">
        <v>2</v>
      </c>
      <c r="Q6" s="8">
        <v>605.30999999999995</v>
      </c>
      <c r="R6" s="7" t="s">
        <v>2</v>
      </c>
      <c r="S6" s="8">
        <v>1037.21</v>
      </c>
      <c r="T6" s="7" t="s">
        <v>2</v>
      </c>
      <c r="U6" s="8">
        <v>168.71</v>
      </c>
      <c r="V6" s="7" t="s">
        <v>2</v>
      </c>
      <c r="W6" s="5">
        <f t="shared" si="0"/>
        <v>5936.3900000000012</v>
      </c>
    </row>
    <row r="7" spans="1:23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4">
        <v>0</v>
      </c>
      <c r="P7" s="3" t="s">
        <v>2</v>
      </c>
      <c r="Q7" s="4">
        <v>1354</v>
      </c>
      <c r="R7" s="3" t="s">
        <v>2</v>
      </c>
      <c r="S7" s="4">
        <v>1020</v>
      </c>
      <c r="T7" s="3" t="s">
        <v>2</v>
      </c>
      <c r="U7" s="4">
        <v>2255</v>
      </c>
      <c r="V7" s="3" t="s">
        <v>2</v>
      </c>
      <c r="W7" s="5">
        <f t="shared" si="0"/>
        <v>13332.79</v>
      </c>
    </row>
    <row r="8" spans="1:23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8">
        <v>0</v>
      </c>
      <c r="P8" s="7" t="s">
        <v>2</v>
      </c>
      <c r="Q8" s="8">
        <v>600</v>
      </c>
      <c r="R8" s="7" t="s">
        <v>2</v>
      </c>
      <c r="S8" s="8">
        <v>600</v>
      </c>
      <c r="T8" s="7" t="s">
        <v>2</v>
      </c>
      <c r="U8" s="8">
        <v>600</v>
      </c>
      <c r="V8" s="7" t="s">
        <v>2</v>
      </c>
      <c r="W8" s="5">
        <f t="shared" si="0"/>
        <v>4200</v>
      </c>
    </row>
    <row r="9" spans="1:23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8687.36</v>
      </c>
      <c r="N9" s="9" t="s">
        <v>2</v>
      </c>
      <c r="O9" s="10">
        <f>SUM(O3:O8)</f>
        <v>1800.29</v>
      </c>
      <c r="P9" s="9" t="s">
        <v>2</v>
      </c>
      <c r="Q9" s="10">
        <f>SUM(Q3:Q8)</f>
        <v>7733.92</v>
      </c>
      <c r="R9" s="9" t="s">
        <v>2</v>
      </c>
      <c r="S9" s="10">
        <f>SUM(S3:S8)</f>
        <v>7436.2</v>
      </c>
      <c r="T9" s="9" t="s">
        <v>2</v>
      </c>
      <c r="U9" s="10">
        <f>SUM(U3:U8)</f>
        <v>5720.9400000000005</v>
      </c>
      <c r="V9" s="9" t="s">
        <v>2</v>
      </c>
      <c r="W9" s="10">
        <f t="shared" si="0"/>
        <v>59673.17</v>
      </c>
    </row>
    <row r="10" spans="1:23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v>5</v>
      </c>
      <c r="P10" s="1"/>
      <c r="Q10" s="1">
        <v>18</v>
      </c>
      <c r="R10" s="1"/>
      <c r="S10" s="1">
        <v>17</v>
      </c>
      <c r="T10" s="1"/>
      <c r="U10" s="1">
        <v>11</v>
      </c>
      <c r="V10" s="1"/>
      <c r="W10" s="1">
        <f t="shared" si="0"/>
        <v>134</v>
      </c>
    </row>
    <row r="11" spans="1:23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482.63111111111112</v>
      </c>
      <c r="N11" s="12"/>
      <c r="O11" s="12">
        <f>IF(O10&gt;0,O9/O10,0)</f>
        <v>360.05799999999999</v>
      </c>
      <c r="P11" s="12"/>
      <c r="Q11" s="12">
        <f>IF(Q10&gt;0,Q9/Q10,0)</f>
        <v>429.66222222222223</v>
      </c>
      <c r="R11" s="12"/>
      <c r="S11" s="12">
        <f>IF(S10&gt;0,S9/S10,0)</f>
        <v>437.42352941176472</v>
      </c>
      <c r="T11" s="12"/>
      <c r="U11" s="12">
        <f>IF(U10&gt;0,U9/U10,0)</f>
        <v>520.08545454545458</v>
      </c>
      <c r="V11" s="1"/>
      <c r="W11" s="12">
        <f>IF(W10&gt;0,W9/W10,0)</f>
        <v>445.32216417910445</v>
      </c>
    </row>
    <row r="12" spans="1:23" ht="6" customHeight="1" x14ac:dyDescent="0.25"/>
    <row r="13" spans="1:23" ht="6" customHeight="1" x14ac:dyDescent="0.25"/>
    <row r="14" spans="1:23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3">
        <f>W9</f>
        <v>59673.17</v>
      </c>
    </row>
    <row r="15" spans="1:23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4">
        <f>W10</f>
        <v>134</v>
      </c>
    </row>
    <row r="16" spans="1:23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3">
        <f>W14/W15</f>
        <v>445.32216417910445</v>
      </c>
    </row>
  </sheetData>
  <mergeCells count="1">
    <mergeCell ref="A1:W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2026-07-22T10:45:08Z</dcterms:modified>
</cp:coreProperties>
</file>