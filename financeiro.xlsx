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3E8406D7-A6BE-4258-91C4-89556093CB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" l="1"/>
  <c r="K9" i="1"/>
  <c r="I11" i="1"/>
  <c r="M4" i="1"/>
  <c r="M5" i="1"/>
  <c r="M6" i="1"/>
  <c r="M7" i="1"/>
  <c r="M8" i="1"/>
  <c r="M3" i="1"/>
  <c r="I9" i="1"/>
  <c r="G9" i="1"/>
  <c r="G11" i="1" s="1"/>
  <c r="E9" i="1"/>
  <c r="E11" i="1" s="1"/>
  <c r="C9" i="1"/>
  <c r="C11" i="1" s="1"/>
  <c r="M9" i="1" l="1"/>
  <c r="M11" i="1" s="1"/>
  <c r="M15" i="1"/>
  <c r="M14" i="1" l="1"/>
  <c r="M16" i="1" s="1"/>
</calcChain>
</file>

<file path=xl/sharedStrings.xml><?xml version="1.0" encoding="utf-8"?>
<sst xmlns="http://schemas.openxmlformats.org/spreadsheetml/2006/main" count="69" uniqueCount="19">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</sst>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workbookViewId="0">
      <selection activeCell="P7" sqref="P7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5" customWidth="1"/>
    <col min="13" max="13" width="13" customWidth="1"/>
  </cols>
  <sheetData>
    <row r="1" spans="1:13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6</v>
      </c>
    </row>
    <row r="3" spans="1:13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5">
        <f>C3+E3+G3+I3</f>
        <v>8973.93</v>
      </c>
    </row>
    <row r="4" spans="1:13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5">
        <f t="shared" ref="M4:M8" si="0">C4+E4+G4+I4</f>
        <v>4664.8799999999992</v>
      </c>
    </row>
    <row r="5" spans="1:13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5">
        <f t="shared" si="0"/>
        <v>566.39</v>
      </c>
    </row>
    <row r="6" spans="1:13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371.45</v>
      </c>
      <c r="L6" s="7" t="s">
        <v>2</v>
      </c>
      <c r="M6" s="5">
        <f t="shared" si="0"/>
        <v>985.71</v>
      </c>
    </row>
    <row r="7" spans="1:13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5">
        <f t="shared" si="0"/>
        <v>5427.79</v>
      </c>
    </row>
    <row r="8" spans="1:13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5">
        <f t="shared" si="0"/>
        <v>1200</v>
      </c>
    </row>
    <row r="9" spans="1:13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10"/>
      <c r="I9" s="10">
        <f>SUM(I3:I8)</f>
        <v>6722.54</v>
      </c>
      <c r="J9" s="10"/>
      <c r="K9" s="10">
        <f>SUM(K3:K8)</f>
        <v>6415.76</v>
      </c>
      <c r="L9" s="9" t="s">
        <v>2</v>
      </c>
      <c r="M9" s="10">
        <f>C9+E9+G9+I9+K9</f>
        <v>28234.46</v>
      </c>
    </row>
    <row r="10" spans="1:13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f>C10+E10+G10+I10+K10</f>
        <v>65</v>
      </c>
    </row>
    <row r="11" spans="1:13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/>
      <c r="L11" s="1"/>
      <c r="M11" s="12">
        <f>IF(M10&gt;0,M9/M10,0)</f>
        <v>434.37630769230771</v>
      </c>
    </row>
    <row r="12" spans="1:13" ht="6" customHeight="1" x14ac:dyDescent="0.25"/>
    <row r="13" spans="1:13" ht="6" customHeight="1" x14ac:dyDescent="0.25"/>
    <row r="14" spans="1:13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3">
        <f>M9</f>
        <v>28234.46</v>
      </c>
    </row>
    <row r="15" spans="1:13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4">
        <f>M10</f>
        <v>65</v>
      </c>
    </row>
    <row r="16" spans="1:13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3">
        <f>M14/M15</f>
        <v>434.37630769230771</v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Paulo Furtado De Lima</cp:lastModifiedBy>
  <dcterms:created xsi:type="dcterms:W3CDTF">2026-04-21T00:45:56Z</dcterms:created>
  <dcterms:modified xsi:type="dcterms:W3CDTF">2026-05-19T12:31:30Z</dcterms:modified>
</cp:coreProperties>
</file>